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gg-rey"/>
  <workbookPr/>
  <bookViews>
    <workbookView activeTab="0" xWindow="240" yWindow="60" windowWidth="23250" windowHeight="12450" tabRatio="500"/>
  </bookViews>
  <sheets>
    <sheet name="Data Export" sheetId="1" r:id="rId5"/>
  </sheets>
  <externalReferences>
    <externalReference r:id="rId4"/>
  </externalReferences>
  <definedNames>
    <definedName name="_xlnm._FilterDatabase" localSheetId="0" hidden="1">'Data Export'!$A$1:$F$1373</definedName>
  </definedNames>
  <calcPr/>
  <extLst>
    <ext uri="smNativeData">
      <pm:revision xmlns:pm="smNativeData" day="1788792426" val="1234" rev="124" rev64="64" revOS="3" revMin="124" revMax="0"/>
      <pm:docPrefs xmlns:pm="smNativeData" id="1788792426" fixedDigits="0" showNotice="1" showFrameBounds="1" autoChart="1" recalcOnPrint="1" recalcOnCopy="1" finalRounding="1" compatTextArt="1" tab="567" useDefinedPrintRange="1" printArea="currentSheet"/>
      <pm:compatibility xmlns:pm="smNativeData" id="1788792426" overlapCells="1"/>
      <pm:defCurrency xmlns:pm="smNativeData" id="1788792426"/>
    </ext>
  </extLst>
</workbook>
</file>

<file path=xl/sharedStrings.xml><?xml version="1.0" encoding="utf-8"?>
<sst xmlns="http://schemas.openxmlformats.org/spreadsheetml/2006/main" count="4376" uniqueCount="4376">
  <si>
    <t>ID</t>
  </si>
  <si>
    <t>Account Name</t>
  </si>
  <si>
    <t>Parent Account</t>
  </si>
  <si>
    <t>Account Number</t>
  </si>
  <si>
    <t>Account Category</t>
  </si>
  <si>
    <t>Account Type</t>
  </si>
  <si>
    <t>"1 - Comptes de ressources durables - OHADA"</t>
  </si>
  <si>
    <t>Comptes de ressources durables</t>
  </si>
  <si>
    <t>1</t>
  </si>
  <si>
    <t>"10 - Capital - OHADA"</t>
  </si>
  <si>
    <t>Capital</t>
  </si>
  <si>
    <t>1 - Comptes de ressources durables - OHADA</t>
  </si>
  <si>
    <t>10</t>
  </si>
  <si>
    <t>"101000 - Capital social - OHADA"</t>
  </si>
  <si>
    <t>Capital social</t>
  </si>
  <si>
    <t>10 - Capital - OHADA</t>
  </si>
  <si>
    <t>101000</t>
  </si>
  <si>
    <t>"101100 - Capital souscrit, non appelé - OHADA"</t>
  </si>
  <si>
    <t>Capital souscrit, non appelé</t>
  </si>
  <si>
    <t>101000 - Capital social - OHADA</t>
  </si>
  <si>
    <t>101100</t>
  </si>
  <si>
    <t>"101200 - Capital souscrit, appelé, non versé - OHADA"</t>
  </si>
  <si>
    <t>Capital souscrit, appelé, non versé</t>
  </si>
  <si>
    <t>101000 - Capital social - OHADA</t>
  </si>
  <si>
    <t>101200</t>
  </si>
  <si>
    <t>"101300 - Capital souscrit, appelé, versé, non amorti - OHADA"</t>
  </si>
  <si>
    <t>Capital souscrit, appelé, versé, non amorti</t>
  </si>
  <si>
    <t>101000 - Capital social - OHADA</t>
  </si>
  <si>
    <t>101300</t>
  </si>
  <si>
    <t>"101400 - Capital souscrit, appelé, versé, amorti - OHADA"</t>
  </si>
  <si>
    <t>Capital souscrit, appelé, versé, amorti</t>
  </si>
  <si>
    <t>101000 - Capital social - OHADA</t>
  </si>
  <si>
    <t>101400</t>
  </si>
  <si>
    <t>"101800 - Capital souscrit soumis à des conditions particulières - OHADA"</t>
  </si>
  <si>
    <t>Capital souscrit soumis à des conditions particulières</t>
  </si>
  <si>
    <t>101000 - Capital social - OHADA</t>
  </si>
  <si>
    <t>101800</t>
  </si>
  <si>
    <t>"102000 - Capital par dotation - OHADA"</t>
  </si>
  <si>
    <t>Capital par dotation</t>
  </si>
  <si>
    <t>10 - Capital - OHADA</t>
  </si>
  <si>
    <t>102000</t>
  </si>
  <si>
    <t>"102100 - Dotation initiale - OHADA"</t>
  </si>
  <si>
    <t>Dotation initiale</t>
  </si>
  <si>
    <t>102000 - Capital par dotation - OHADA</t>
  </si>
  <si>
    <t>102100</t>
  </si>
  <si>
    <t>"102200 - Dotations complémentaires - OHADA"</t>
  </si>
  <si>
    <t>Dotations complémentaires</t>
  </si>
  <si>
    <t>102000 - Capital par dotation - OHADA</t>
  </si>
  <si>
    <t>102200</t>
  </si>
  <si>
    <t>"102800 - Autres dotations - OHADA"</t>
  </si>
  <si>
    <t>Autres dotations</t>
  </si>
  <si>
    <t>102000 - Capital par dotation - OHADA</t>
  </si>
  <si>
    <t>102800</t>
  </si>
  <si>
    <t>"103000 - Capital personnel - OHADA"</t>
  </si>
  <si>
    <t>Capital personnel</t>
  </si>
  <si>
    <t>10 - Capital - OHADA</t>
  </si>
  <si>
    <t>103000</t>
  </si>
  <si>
    <t>"104000 - Compte de l’exploitant - OHADA"</t>
  </si>
  <si>
    <t>Compte de l’exploitant</t>
  </si>
  <si>
    <t>10 - Capital - OHADA</t>
  </si>
  <si>
    <t>104000</t>
  </si>
  <si>
    <t>"104100 - Apports temporaires - OHADA"</t>
  </si>
  <si>
    <t>Apports temporaires</t>
  </si>
  <si>
    <t>104000 - Compte de l’exploitant - OHADA</t>
  </si>
  <si>
    <t>104100</t>
  </si>
  <si>
    <t>"104200 - Opérations courantes - OHADA"</t>
  </si>
  <si>
    <t>Opérations courantes</t>
  </si>
  <si>
    <t>104000 - Compte de l’exploitant - OHADA</t>
  </si>
  <si>
    <t>104200</t>
  </si>
  <si>
    <t>"104300 - Rémunérations, impôts et autres charges personnelles - OHADA"</t>
  </si>
  <si>
    <t>Rémunérations, impôts et autres charges personnelles</t>
  </si>
  <si>
    <t>104000 - Compte de l’exploitant - OHADA</t>
  </si>
  <si>
    <t>104300</t>
  </si>
  <si>
    <t>"104700 - Prélèvements d’autoconsommation - OHADA"</t>
  </si>
  <si>
    <t>Prélèvements d’autoconsommation</t>
  </si>
  <si>
    <t>104000 - Compte de l’exploitant - OHADA</t>
  </si>
  <si>
    <t>104700</t>
  </si>
  <si>
    <t>"104800 - Autres prélèvements - OHADA"</t>
  </si>
  <si>
    <t>Autres prélèvements</t>
  </si>
  <si>
    <t>104000 - Compte de l’exploitant - OHADA</t>
  </si>
  <si>
    <t>104800</t>
  </si>
  <si>
    <t>"105000 - Primes liées au capital social - OHADA"</t>
  </si>
  <si>
    <t>Primes liées au capital social</t>
  </si>
  <si>
    <t>10 - Capital - OHADA</t>
  </si>
  <si>
    <t>105000</t>
  </si>
  <si>
    <t>"105100 - Primes d’émission - OHADA"</t>
  </si>
  <si>
    <t>Primes d’émission</t>
  </si>
  <si>
    <t>105000 - Primes liées au capital social - OHADA</t>
  </si>
  <si>
    <t>105100</t>
  </si>
  <si>
    <t>"105200 - Primes d’apport - OHADA"</t>
  </si>
  <si>
    <t>Primes d’apport</t>
  </si>
  <si>
    <t>105000 - Primes liées au capital social - OHADA</t>
  </si>
  <si>
    <t>105200</t>
  </si>
  <si>
    <t>"105300 - Primes de fusion - OHADA"</t>
  </si>
  <si>
    <t>Primes de fusion</t>
  </si>
  <si>
    <t>105000 - Primes liées au capital social - OHADA</t>
  </si>
  <si>
    <t>105300</t>
  </si>
  <si>
    <t>"105400 - Primes de conversion - OHADA"</t>
  </si>
  <si>
    <t>Primes de conversion</t>
  </si>
  <si>
    <t>105000 - Primes liées au capital social - OHADA</t>
  </si>
  <si>
    <t>105400</t>
  </si>
  <si>
    <t>"105800 - Autres primes - OHADA"</t>
  </si>
  <si>
    <t>Autres primes</t>
  </si>
  <si>
    <t>105000 - Primes liées au capital social - OHADA</t>
  </si>
  <si>
    <t>105800</t>
  </si>
  <si>
    <t>"106000 - Écarts de réévaluation - OHADA"</t>
  </si>
  <si>
    <t>Écarts de réévaluation</t>
  </si>
  <si>
    <t>10 - Capital - OHADA</t>
  </si>
  <si>
    <t>106000</t>
  </si>
  <si>
    <t>"106100 - Écarts de réévaluation légale - OHADA"</t>
  </si>
  <si>
    <t>Écarts de réévaluation légale</t>
  </si>
  <si>
    <t>106000 - Écarts de réévaluation - OHADA</t>
  </si>
  <si>
    <t>106100</t>
  </si>
  <si>
    <t>"106200 - Écarts de réévaluation libre - OHADA"</t>
  </si>
  <si>
    <t>Écarts de réévaluation libre</t>
  </si>
  <si>
    <t>106000 - Écarts de réévaluation - OHADA</t>
  </si>
  <si>
    <t>106200</t>
  </si>
  <si>
    <t>"109000 - Apporteurs, capital souscrit, non appelé - OHADA"</t>
  </si>
  <si>
    <t>Apporteurs, capital souscrit, non appelé</t>
  </si>
  <si>
    <t>10 - Capital - OHADA</t>
  </si>
  <si>
    <t>109000</t>
  </si>
  <si>
    <t>"11 - Réserves - OHADA"</t>
  </si>
  <si>
    <t>Réserves</t>
  </si>
  <si>
    <t>1 - Comptes de ressources durables - OHADA</t>
  </si>
  <si>
    <t>11</t>
  </si>
  <si>
    <t>"111000 - Réserve légale - OHADA"</t>
  </si>
  <si>
    <t>Réserve légale</t>
  </si>
  <si>
    <t>11 - Réserves - OHADA</t>
  </si>
  <si>
    <t>111000</t>
  </si>
  <si>
    <t>"112000 - Réserves statutaires ou contractuelles - OHADA"</t>
  </si>
  <si>
    <t>Réserves statutaires ou contractuelles</t>
  </si>
  <si>
    <t>11 - Réserves - OHADA</t>
  </si>
  <si>
    <t>112000</t>
  </si>
  <si>
    <t>"113000 - Réserves réglementées - OHADA"</t>
  </si>
  <si>
    <t>Réserves réglementées</t>
  </si>
  <si>
    <t>11 - Réserves - OHADA</t>
  </si>
  <si>
    <t>113000</t>
  </si>
  <si>
    <t>"113100 - Réserves de plus-values nettes à long terme - OHADA"</t>
  </si>
  <si>
    <t>Réserves de plus-values nettes à long terme</t>
  </si>
  <si>
    <t>113000 - Réserves réglementées - OHADA</t>
  </si>
  <si>
    <t>"113200 - Réserves d’attribution gratuite d’actions au personnel salarié et aux dirigeants - OHADA"</t>
  </si>
  <si>
    <t>Réserves d’attribution gratuite d’actions au personnel salarié et aux dirigeants</t>
  </si>
  <si>
    <t>113000 - Réserves réglementées - OHADA</t>
  </si>
  <si>
    <t>"113300 - Réserves consécutives à l’octroi de subventions d’investissement - OHADA"</t>
  </si>
  <si>
    <t>Réserves consécutives à l’octroi de subventions d’investissement</t>
  </si>
  <si>
    <t>113000 - Réserves réglementées - OHADA</t>
  </si>
  <si>
    <t>"113400 - Réserves des valeurs mobilières donnant accès au capital - OHADA"</t>
  </si>
  <si>
    <t>Réserves des valeurs mobilières donnant accès au capital</t>
  </si>
  <si>
    <t>113000 - Réserves réglementées - OHADA</t>
  </si>
  <si>
    <t>"113500 - Autres réserves réglementées - OHADA"</t>
  </si>
  <si>
    <t>Autres réserves réglementées</t>
  </si>
  <si>
    <t>113000 - Réserves réglementées - OHADA</t>
  </si>
  <si>
    <t>"118000 - Autres réserves - OHADA"</t>
  </si>
  <si>
    <t>Autres réserves</t>
  </si>
  <si>
    <t>11 - Réserves - OHADA</t>
  </si>
  <si>
    <t>"118100 - Réserves facultatives - OHADA"</t>
  </si>
  <si>
    <t>Réserves facultatives</t>
  </si>
  <si>
    <t>118000 - Autres réserves - OHADA</t>
  </si>
  <si>
    <t>"118800 - Réserves diverses - OHADA"</t>
  </si>
  <si>
    <t>Réserves diverses</t>
  </si>
  <si>
    <t>118000 - Autres réserves - OHADA</t>
  </si>
  <si>
    <t>"12 - Report à nouveau - OHADA"</t>
  </si>
  <si>
    <t>Report à nouveau</t>
  </si>
  <si>
    <t>1 - Comptes de ressources durables - OHADA</t>
  </si>
  <si>
    <t>"121000 - Report à nouveau créditeur - OHADA"</t>
  </si>
  <si>
    <t>Report à nouveau créditeur</t>
  </si>
  <si>
    <t>12 - Report à nouveau - OHADA</t>
  </si>
  <si>
    <t>"129000 - Report à nouveau débiteur - OHADA"</t>
  </si>
  <si>
    <t>Report à nouveau débiteur</t>
  </si>
  <si>
    <t>12 - Report à nouveau - OHADA</t>
  </si>
  <si>
    <t>"129100 - Perte nette à reporter - OHADA"</t>
  </si>
  <si>
    <t>Perte nette à reporter</t>
  </si>
  <si>
    <t>129000 - Report à nouveau débiteur - OHADA</t>
  </si>
  <si>
    <t>"129200 - Perte Amortissements réputés différés - OHADA"</t>
  </si>
  <si>
    <t>Perte Amortissements réputés différés</t>
  </si>
  <si>
    <t>129000 - Report à nouveau débiteur - OHADA</t>
  </si>
  <si>
    <t>"13 - Résultat net de l’exercice - OHADA"</t>
  </si>
  <si>
    <t>Résultat net de l’exercice</t>
  </si>
  <si>
    <t>1 - Comptes de ressources durables - OHADA</t>
  </si>
  <si>
    <t>"130000 - Résultat en instance d’affectation - OHADA"</t>
  </si>
  <si>
    <t>Résultat en instance d’affectation</t>
  </si>
  <si>
    <t>13 - Résultat net de l’exercice - OHADA</t>
  </si>
  <si>
    <t>"130100 - Résultat en instance d’affectation : bénéfice - OHADA"</t>
  </si>
  <si>
    <t>Résultat en instance d’affectation : bénéfice</t>
  </si>
  <si>
    <t>130000 - Résultat en instance d’affectation - OHADA</t>
  </si>
  <si>
    <t>"130900 - Résultat en instance d’affectation : perte - OHADA"</t>
  </si>
  <si>
    <t>Résultat en instance d’affectation : perte</t>
  </si>
  <si>
    <t>130000 - Résultat en instance d’affectation - OHADA</t>
  </si>
  <si>
    <t>"131000 - Résultat net : bénéfice - OHADA"</t>
  </si>
  <si>
    <t>Résultat net : bénéfice</t>
  </si>
  <si>
    <t>13 - Résultat net de l’exercice - OHADA</t>
  </si>
  <si>
    <t>"132000 - Marge commerciale (MC) - OHADA"</t>
  </si>
  <si>
    <t>Marge commerciale (MC)</t>
  </si>
  <si>
    <t>13 - Résultat net de l’exercice - OHADA</t>
  </si>
  <si>
    <t>"133000 - Valeur ajoutée (VA) - OHADA"</t>
  </si>
  <si>
    <t>Valeur ajoutée (VA)</t>
  </si>
  <si>
    <t>13 - Résultat net de l’exercice - OHADA</t>
  </si>
  <si>
    <t>"134000 - Excédent brut d’exploitation (EBE) - OHADA"</t>
  </si>
  <si>
    <t>Excédent brut d’exploitation (EBE)</t>
  </si>
  <si>
    <t>13 - Résultat net de l’exercice - OHADA</t>
  </si>
  <si>
    <t>"135000 - Résultat d’exploitation (RE) - OHADA"</t>
  </si>
  <si>
    <t>Résultat d’exploitation (RE)</t>
  </si>
  <si>
    <t>13 - Résultat net de l’exercice - OHADA</t>
  </si>
  <si>
    <t>"136000 - Résultat financier (RF) - OHADA"</t>
  </si>
  <si>
    <t>Résultat financier (RF)</t>
  </si>
  <si>
    <t>13 - Résultat net de l’exercice - OHADA</t>
  </si>
  <si>
    <t>"137000 - Résultat des activités ordinaires (RAO) - OHADA"</t>
  </si>
  <si>
    <t>Résultat des activités ordinaires (RAO)</t>
  </si>
  <si>
    <t>13 - Résultat net de l’exercice - OHADA</t>
  </si>
  <si>
    <t>"138000 - Résultat hors activités ordinaires (RHAO) - OHADA"</t>
  </si>
  <si>
    <t>Résultat hors activités ordinaires (RHAO)</t>
  </si>
  <si>
    <t>13 - Résultat net de l’exercice - OHADA</t>
  </si>
  <si>
    <t>"138100 - Résultat de fusion - OHADA"</t>
  </si>
  <si>
    <t>Résultat de fusion</t>
  </si>
  <si>
    <t>138000 - Résultat hors activités ordinaires (RHAO) - OHADA</t>
  </si>
  <si>
    <t>"138200 - Résultat d’apport partiel d’actif - OHADA"</t>
  </si>
  <si>
    <t>Résultat d’apport partiel d’actif</t>
  </si>
  <si>
    <t>138000 - Résultat hors activités ordinaires (RHAO) - OHADA</t>
  </si>
  <si>
    <t>"138300 - Résultat de scission - OHADA"</t>
  </si>
  <si>
    <t>Résultat de scission</t>
  </si>
  <si>
    <t>138000 - Résultat hors activités ordinaires (RHAO) - OHADA</t>
  </si>
  <si>
    <t>"138400 - Résultat de liquidation - OHADA"</t>
  </si>
  <si>
    <t>Résultat de liquidation</t>
  </si>
  <si>
    <t>138000 - Résultat hors activités ordinaires (RHAO) - OHADA</t>
  </si>
  <si>
    <t>"139000 - Résultat net : perte - OHADA"</t>
  </si>
  <si>
    <t>Résultat net : perte</t>
  </si>
  <si>
    <t>13 - Résultat net de l’exercice - OHADA</t>
  </si>
  <si>
    <t>"14 - Subventions d’investissement - OHADA"</t>
  </si>
  <si>
    <t>Subventions d’investissement</t>
  </si>
  <si>
    <t>1 - Comptes de ressources durables - OHADA</t>
  </si>
  <si>
    <t>"141000 - Subventions d’équipement - OHADA"</t>
  </si>
  <si>
    <t>Subventions d’équipement</t>
  </si>
  <si>
    <t>14 - Subventions d’investissement - OHADA</t>
  </si>
  <si>
    <t>"141100 - État - OHADA"</t>
  </si>
  <si>
    <t>État</t>
  </si>
  <si>
    <t>141000 - Subventions d’équipement - OHADA</t>
  </si>
  <si>
    <t>"141200 - Régions - OHADA"</t>
  </si>
  <si>
    <t>Régions</t>
  </si>
  <si>
    <t>141000 - Subventions d’équipement - OHADA</t>
  </si>
  <si>
    <t>"141300 - Départements - OHADA"</t>
  </si>
  <si>
    <t>Départements</t>
  </si>
  <si>
    <t>141000 - Subventions d’équipement - OHADA</t>
  </si>
  <si>
    <t>"141400 - Communes et collectivités publiques décentralisées - OHADA"</t>
  </si>
  <si>
    <t>Communes et collectivités publiques décentralisées</t>
  </si>
  <si>
    <t>141000 - Subventions d’équipement - OHADA</t>
  </si>
  <si>
    <t>"141500 - Entités publiques ou mixtes - OHADA"</t>
  </si>
  <si>
    <t>Entités publiques ou mixtes</t>
  </si>
  <si>
    <t>141000 - Subventions d’équipement - OHADA</t>
  </si>
  <si>
    <t>"141600 - Entités et organismes privés - OHADA"</t>
  </si>
  <si>
    <t>Entités et organismes privés</t>
  </si>
  <si>
    <t>141000 - Subventions d’équipement - OHADA</t>
  </si>
  <si>
    <t>"141700 - Organismes internationaux - OHADA"</t>
  </si>
  <si>
    <t>Organismes internationaux</t>
  </si>
  <si>
    <t>141000 - Subventions d’équipement - OHADA</t>
  </si>
  <si>
    <t>"141800 - Autres - OHADA"</t>
  </si>
  <si>
    <t>Autres</t>
  </si>
  <si>
    <t>141000 - Subventions d’équipement - OHADA</t>
  </si>
  <si>
    <t>"148000 - Autres subventions d’investissement - OHADA"</t>
  </si>
  <si>
    <t>Autres subventions d’investissement</t>
  </si>
  <si>
    <t>14 - Subventions d’investissement - OHADA</t>
  </si>
  <si>
    <t>"15 - Provisions réglementées et fonds assimilés - OHADA"</t>
  </si>
  <si>
    <t>Provisions réglementées et fonds assimilés</t>
  </si>
  <si>
    <t>1 - Comptes de ressources durables - OHADA</t>
  </si>
  <si>
    <t>"151000 - Amortissements dérogatoires - OHADA"</t>
  </si>
  <si>
    <t>Amortissements dérogatoires</t>
  </si>
  <si>
    <t>15 - Provisions réglementées et fonds assimilés - OHADA</t>
  </si>
  <si>
    <t>"152000 - Plus-values de cession à réinvestir - OHADA"</t>
  </si>
  <si>
    <t>Plus-values de cession à réinvestir</t>
  </si>
  <si>
    <t>15 - Provisions réglementées et fonds assimilés - OHADA</t>
  </si>
  <si>
    <t>"153000 - Fonds réglementés - OHADA"</t>
  </si>
  <si>
    <t>Fonds réglementés</t>
  </si>
  <si>
    <t>15 - Provisions réglementées et fonds assimilés - OHADA</t>
  </si>
  <si>
    <t>"153100 - Fonds National - OHADA"</t>
  </si>
  <si>
    <t>Fonds National</t>
  </si>
  <si>
    <t>153000 - Fonds réglementés - OHADA</t>
  </si>
  <si>
    <t>"153200 - Prélèvement pour le Budget - OHADA"</t>
  </si>
  <si>
    <t>Prélèvement pour le Budget</t>
  </si>
  <si>
    <t>153000 - Fonds réglementés - OHADA</t>
  </si>
  <si>
    <t>"154000 - Provisions spéciales de réévaluation - OHADA"</t>
  </si>
  <si>
    <t>Provisions spéciales de réévaluation</t>
  </si>
  <si>
    <t>15 - Provisions réglementées et fonds assimilés - OHADA</t>
  </si>
  <si>
    <t>"155000 - Provisions réglementées relatives aux immobilisations - OHADA"</t>
  </si>
  <si>
    <t>Provisions réglementées relatives aux immobilisations</t>
  </si>
  <si>
    <t>15 - Provisions réglementées et fonds assimilés - OHADA</t>
  </si>
  <si>
    <t>"155100 - Reconstitution des gisements miniers et pétroliers - OHADA"</t>
  </si>
  <si>
    <t>Reconstitution des gisements miniers et pétroliers</t>
  </si>
  <si>
    <t>155000 - Provisions réglementées relatives aux immobilisations - OHADA</t>
  </si>
  <si>
    <t>"156000 - Provisions réglementées relatives aux stocks - OHADA"</t>
  </si>
  <si>
    <t>Provisions réglementées relatives aux stocks</t>
  </si>
  <si>
    <t>15 - Provisions réglementées et fonds assimilés - OHADA</t>
  </si>
  <si>
    <t>"156100 - Hausse de prix - OHADA"</t>
  </si>
  <si>
    <t>Hausse de prix</t>
  </si>
  <si>
    <t>156000 - Provisions réglementées relatives aux stocks - OHADA</t>
  </si>
  <si>
    <t>"156200 - Fluctuation des cours - OHADA"</t>
  </si>
  <si>
    <t>Fluctuation des cours</t>
  </si>
  <si>
    <t>156000 - Provisions réglementées relatives aux stocks - OHADA</t>
  </si>
  <si>
    <t>"157000 - Provisions pour investissement - OHADA"</t>
  </si>
  <si>
    <t>Provisions pour investissement</t>
  </si>
  <si>
    <t>15 - Provisions réglementées et fonds assimilés - OHADA</t>
  </si>
  <si>
    <t>"158000 - Autres provisions et fonds réglementés - OHADA"</t>
  </si>
  <si>
    <t>Autres provisions et fonds réglementés</t>
  </si>
  <si>
    <t>15 - Provisions réglementées et fonds assimilés - OHADA</t>
  </si>
  <si>
    <t>"16 - Emprunts et dettes assimilées - OHADA"</t>
  </si>
  <si>
    <t>Emprunts et dettes assimilées</t>
  </si>
  <si>
    <t>1 - Comptes de ressources durables - OHADA</t>
  </si>
  <si>
    <t>"161000 - Emprunts obligataires - OHADA"</t>
  </si>
  <si>
    <t>Emprunts obligataires</t>
  </si>
  <si>
    <t>16 - Emprunts et dettes assimilées - OHADA</t>
  </si>
  <si>
    <t>"161100 - Emprunts obligataires ordinaires - OHADA"</t>
  </si>
  <si>
    <t>Emprunts obligataires ordinaires</t>
  </si>
  <si>
    <t>161000 - Emprunts obligataires - OHADA</t>
  </si>
  <si>
    <t>"161200 - Emprunts obligataires convertibles en actions - OHADA"</t>
  </si>
  <si>
    <t>Emprunts obligataires convertibles en actions</t>
  </si>
  <si>
    <t>161000 - Emprunts obligataires - OHADA</t>
  </si>
  <si>
    <t>"161300 - Emprunts obligataires remboursables en actions - OHADA"</t>
  </si>
  <si>
    <t>Emprunts obligataires remboursables en actions</t>
  </si>
  <si>
    <t>161000 - Emprunts obligataires - OHADA</t>
  </si>
  <si>
    <t>"161800 - Autres emprunts obligataires - OHADA"</t>
  </si>
  <si>
    <t>Autres emprunts obligataires</t>
  </si>
  <si>
    <t>161000 - Emprunts obligataires - OHADA</t>
  </si>
  <si>
    <t>"162000 - Emprunts et dettes auprès des établissements de crédit - OHADA"</t>
  </si>
  <si>
    <t>Emprunts et dettes auprès des établissements de crédit</t>
  </si>
  <si>
    <t>16 - Emprunts et dettes assimilées - OHADA</t>
  </si>
  <si>
    <t>"163000 - Avances reçues de l’État - OHADA"</t>
  </si>
  <si>
    <t>Avances reçues de l’État</t>
  </si>
  <si>
    <t>16 - Emprunts et dettes assimilées - OHADA</t>
  </si>
  <si>
    <t>"164000 - Avances reçues et comptes courants bloqués - OHADA"</t>
  </si>
  <si>
    <t>Avances reçues et comptes courants bloqués</t>
  </si>
  <si>
    <t>16 - Emprunts et dettes assimilées - OHADA</t>
  </si>
  <si>
    <t>"165000 - Dépôts et cautionnements reçus - OHADA"</t>
  </si>
  <si>
    <t>Dépôts et cautionnements reçus</t>
  </si>
  <si>
    <t>16 - Emprunts et dettes assimilées - OHADA</t>
  </si>
  <si>
    <t>"165100 - Dépôts - OHADA"</t>
  </si>
  <si>
    <t>Dépôts</t>
  </si>
  <si>
    <t>165000 - Dépôts et cautionnements reçus - OHADA</t>
  </si>
  <si>
    <t>"165200 - Cautionnements - OHADA"</t>
  </si>
  <si>
    <t>Cautionnements</t>
  </si>
  <si>
    <t>165000 - Dépôts et cautionnements reçus - OHADA</t>
  </si>
  <si>
    <t>"166000 - Intérêts courus - OHADA"</t>
  </si>
  <si>
    <t>Intérêts courus</t>
  </si>
  <si>
    <t>16 - Emprunts et dettes assimilées - OHADA</t>
  </si>
  <si>
    <t>"166100 - Sur emprunts obligataires - OHADA"</t>
  </si>
  <si>
    <t>Sur emprunts obligataires</t>
  </si>
  <si>
    <t>166000 - Intérêts courus - OHADA</t>
  </si>
  <si>
    <t>"166200 - Sur emprunts et dettes auprès des établissements de crédit - OHADA"</t>
  </si>
  <si>
    <t>Sur emprunts et dettes auprès des établissements de crédit</t>
  </si>
  <si>
    <t>166000 - Intérêts courus - OHADA</t>
  </si>
  <si>
    <t>"166300 - Sur avances reçues de l’État - OHADA"</t>
  </si>
  <si>
    <t>Sur avances reçues de l’État</t>
  </si>
  <si>
    <t>166000 - Intérêts courus - OHADA</t>
  </si>
  <si>
    <t>"166400 - Sur avances reçues et comptes courants bloqués - OHADA"</t>
  </si>
  <si>
    <t>Sur avances reçues et comptes courants bloqués</t>
  </si>
  <si>
    <t>166000 - Intérêts courus - OHADA</t>
  </si>
  <si>
    <t>"166500 - Sur dépôts et cautionnements reçus - OHADA"</t>
  </si>
  <si>
    <t>Sur dépôts et cautionnements reçus</t>
  </si>
  <si>
    <t>166000 - Intérêts courus - OHADA</t>
  </si>
  <si>
    <t>"166700 - Sur avances assorties de conditions particulières - OHADA"</t>
  </si>
  <si>
    <t>Sur avances assorties de conditions particulières</t>
  </si>
  <si>
    <t>166000 - Intérêts courus - OHADA</t>
  </si>
  <si>
    <t>"166800 - Sur autres emprunts et dettes - OHADA"</t>
  </si>
  <si>
    <t>Sur autres emprunts et dettes</t>
  </si>
  <si>
    <t>166000 - Intérêts courus - OHADA</t>
  </si>
  <si>
    <t>"167000 - Avances assorties de conditions particulières - OHADA"</t>
  </si>
  <si>
    <t>Avances assorties de conditions particulières</t>
  </si>
  <si>
    <t>16 - Emprunts et dettes assimilées - OHADA</t>
  </si>
  <si>
    <t>"167100 - Avances bloquées pour augmentation du capital - OHADA"</t>
  </si>
  <si>
    <t>Avances bloquées pour augmentation du capital</t>
  </si>
  <si>
    <t>167000 - Avances assorties de conditions particulières - OHADA</t>
  </si>
  <si>
    <t>"167200 - Avances conditionnées par l’État - OHADA"</t>
  </si>
  <si>
    <t>Avances conditionnées par l’État</t>
  </si>
  <si>
    <t>167000 - Avances assorties de conditions particulières - OHADA</t>
  </si>
  <si>
    <t>"167300 - Avances conditionnées par les autres organismes africains - OHADA"</t>
  </si>
  <si>
    <t>Avances conditionnées par les autres organismes africains</t>
  </si>
  <si>
    <t>167000 - Avances assorties de conditions particulières - OHADA</t>
  </si>
  <si>
    <t>"167400 - Avances conditionnées par les organismes internationaux - OHADA"</t>
  </si>
  <si>
    <t>Avances conditionnées par les organismes internationaux</t>
  </si>
  <si>
    <t>167000 - Avances assorties de conditions particulières - OHADA</t>
  </si>
  <si>
    <t>"168000 - Autres emprunts et dettes - OHADA"</t>
  </si>
  <si>
    <t>Autres emprunts et dettes</t>
  </si>
  <si>
    <t>16 - Emprunts et dettes assimilées - OHADA</t>
  </si>
  <si>
    <t>"168100 - Rentes viagères capitalisées - OHADA"</t>
  </si>
  <si>
    <t>Rentes viagères capitalisées</t>
  </si>
  <si>
    <t>168000 - Autres emprunts et dettes - OHADA</t>
  </si>
  <si>
    <t>"168200 - Billets de fonds - OHADA"</t>
  </si>
  <si>
    <t>Billets de fonds</t>
  </si>
  <si>
    <t>168000 - Autres emprunts et dettes - OHADA</t>
  </si>
  <si>
    <t>"168300 - Dettes consécutives à des titres empruntés - OHADA"</t>
  </si>
  <si>
    <t>Dettes consécutives à des titres empruntés</t>
  </si>
  <si>
    <t>168000 - Autres emprunts et dettes - OHADA</t>
  </si>
  <si>
    <t>"168400 - Emprunts participatifs - OHADA"</t>
  </si>
  <si>
    <t>Emprunts participatifs</t>
  </si>
  <si>
    <t>168000 - Autres emprunts et dettes - OHADA</t>
  </si>
  <si>
    <t>"168500 - Participation des travailleurs aux bénéfices - OHADA"</t>
  </si>
  <si>
    <t>Participation des travailleurs aux bénéfices</t>
  </si>
  <si>
    <t>168000 - Autres emprunts et dettes - OHADA</t>
  </si>
  <si>
    <t>"168600 - Emprunts et dettes contractés auprès des autres tiers - OHADA"</t>
  </si>
  <si>
    <t>Emprunts et dettes contractés auprès des autres tiers</t>
  </si>
  <si>
    <t>168000 - Autres emprunts et dettes - OHADA</t>
  </si>
  <si>
    <t>"17 - Dettes de location acquisition - OHADA"</t>
  </si>
  <si>
    <t>Dettes de location acquisition</t>
  </si>
  <si>
    <t>1 - Comptes de ressources durables - OHADA</t>
  </si>
  <si>
    <t>"172000 - Dettes de location acquisition / crédit bail immobilier - OHADA"</t>
  </si>
  <si>
    <t>Dettes de location acquisition / crédit bail immobilier</t>
  </si>
  <si>
    <t>17 - Dettes de location acquisition - OHADA</t>
  </si>
  <si>
    <t>"173000 - Dettes de location acquisition / crédit bail mobilier - OHADA"</t>
  </si>
  <si>
    <t>Dettes de location acquisition / crédit bail mobilier</t>
  </si>
  <si>
    <t>17 - Dettes de location acquisition - OHADA</t>
  </si>
  <si>
    <t>"174000 - Dettes de location acquisition / location de vente - OHADA"</t>
  </si>
  <si>
    <t>Dettes de location acquisition / location de vente</t>
  </si>
  <si>
    <t>17 - Dettes de location acquisition - OHADA</t>
  </si>
  <si>
    <t>"176000 - Intérêts courus - OHADA"</t>
  </si>
  <si>
    <t>Intérêts courus</t>
  </si>
  <si>
    <t>17 - Dettes de location acquisition - OHADA</t>
  </si>
  <si>
    <t>"176200 - Sur dettes de location acquisition / crédit-bail immobilier - OHADA"</t>
  </si>
  <si>
    <t>Sur dettes de location acquisition / crédit-bail immobilier</t>
  </si>
  <si>
    <t>176000 - Intérêts courus - OHADA</t>
  </si>
  <si>
    <t>"176300 - Sur dettes de location acquisition / crédit-bail mobilier - OHADA"</t>
  </si>
  <si>
    <t>Sur dettes de location acquisition / crédit-bail mobilier</t>
  </si>
  <si>
    <t>176000 - Intérêts courus - OHADA</t>
  </si>
  <si>
    <t>"176400 - Sur dettes de location acquisition / location-vente - OHADA"</t>
  </si>
  <si>
    <t>Sur dettes de location acquisition / location-vente</t>
  </si>
  <si>
    <t>176000 - Intérêts courus - OHADA</t>
  </si>
  <si>
    <t>"176800 - Sur autres dettes de location acquisition - OHADA"</t>
  </si>
  <si>
    <t>Sur autres dettes de location acquisition</t>
  </si>
  <si>
    <t>176000 - Intérêts courus - OHADA</t>
  </si>
  <si>
    <t>"178000 - Autres dettes de location acquisition - OHADA"</t>
  </si>
  <si>
    <t>Autres dettes de location acquisition</t>
  </si>
  <si>
    <t>17 - Dettes de location acquisition - OHADA</t>
  </si>
  <si>
    <t>"18 - Dettes liées à des participations et comptes de liaison des établissements et sociétés en participation - OHADA"</t>
  </si>
  <si>
    <t>Dettes liées à des participations et comptes de liaison des établissements et sociétés en participation</t>
  </si>
  <si>
    <t>1 - Comptes de ressources durables - OHADA</t>
  </si>
  <si>
    <t>"181000 - Dettes liées à des participations - OHADA"</t>
  </si>
  <si>
    <t>Dettes liées à des participations</t>
  </si>
  <si>
    <t>18 - Dettes liées à des participations et comptes de liaison des établissements et sociétés en participation - OHADA</t>
  </si>
  <si>
    <t>"181100 - Dettes liées à des participations (groupe) - OHADA"</t>
  </si>
  <si>
    <t>Dettes liées à des participations (groupe)</t>
  </si>
  <si>
    <t>181000 - Dettes liées à des participations - OHADA</t>
  </si>
  <si>
    <t>"181200 - Dettes liées à des participations (hors groupe) - OHADA"</t>
  </si>
  <si>
    <t>Dettes liées à des participations (hors groupe)</t>
  </si>
  <si>
    <t>181000 - Dettes liées à des participations - OHADA</t>
  </si>
  <si>
    <t>"182000 - Dettes liées à des sociétés en participation - OHADA"</t>
  </si>
  <si>
    <t>Dettes liées à des sociétés en participation</t>
  </si>
  <si>
    <t>18 - Dettes liées à des participations et comptes de liaison des établissements et sociétés en participation - OHADA</t>
  </si>
  <si>
    <t>"183000 - Intérêts courus sur dettes liées à des participations - OHADA"</t>
  </si>
  <si>
    <t>Intérêts courus sur dettes liées à des participations</t>
  </si>
  <si>
    <t>18 - Dettes liées à des participations et comptes de liaison des établissements et sociétés en participation - OHADA</t>
  </si>
  <si>
    <t>"184000 - Comptes permanents bloqués des établissements et succursales - OHADA"</t>
  </si>
  <si>
    <t>Comptes permanents bloqués des établissements et succursales</t>
  </si>
  <si>
    <t>18 - Dettes liées à des participations et comptes de liaison des établissements et sociétés en participation - OHADA</t>
  </si>
  <si>
    <t>"185000 - Comptes permanents non bloqués des établissements et succursales - OHADA"</t>
  </si>
  <si>
    <t>Comptes permanents non bloqués des établissements et succursales</t>
  </si>
  <si>
    <t>18 - Dettes liées à des participations et comptes de liaison des établissements et sociétés en participation - OHADA</t>
  </si>
  <si>
    <t>"186000 - Comptes de liaison charges - OHADA"</t>
  </si>
  <si>
    <t>Comptes de liaison charges</t>
  </si>
  <si>
    <t>18 - Dettes liées à des participations et comptes de liaison des établissements et sociétés en participation - OHADA</t>
  </si>
  <si>
    <t>"187000 - Comptes de liaison produits - OHADA"</t>
  </si>
  <si>
    <t>Comptes de liaison produits</t>
  </si>
  <si>
    <t>18 - Dettes liées à des participations et comptes de liaison des établissements et sociétés en participation - OHADA</t>
  </si>
  <si>
    <t>"188000 - Comptes de liaison des sociétés en participation - OHADA"</t>
  </si>
  <si>
    <t>Comptes de liaison des sociétés en participation</t>
  </si>
  <si>
    <t>18 - Dettes liées à des participations et comptes de liaison des établissements et sociétés en participation - OHADA</t>
  </si>
  <si>
    <t>"19 - Provisions pour risques et charges - OHADA"</t>
  </si>
  <si>
    <t>Provisions pour risques et charges</t>
  </si>
  <si>
    <t>1 - Comptes de ressources durables - OHADA</t>
  </si>
  <si>
    <t>"191000 - Provisions pour litiges - OHADA"</t>
  </si>
  <si>
    <t>Provisions pour litiges</t>
  </si>
  <si>
    <t>19 - Provisions pour risques et charges - OHADA</t>
  </si>
  <si>
    <t>"192000 - Provisions pour garanties données aux clients - OHADA"</t>
  </si>
  <si>
    <t>Provisions pour garanties données aux clients</t>
  </si>
  <si>
    <t>19 - Provisions pour risques et charges - OHADA</t>
  </si>
  <si>
    <t>"193000 - Provisions pour pertes sur marchés à achèvement futur - OHADA"</t>
  </si>
  <si>
    <t>Provisions pour pertes sur marchés à achèvement futur</t>
  </si>
  <si>
    <t>19 - Provisions pour risques et charges - OHADA</t>
  </si>
  <si>
    <t>"194000 - Provisions pour pertes de change - OHADA"</t>
  </si>
  <si>
    <t>Provisions pour pertes de change</t>
  </si>
  <si>
    <t>19 - Provisions pour risques et charges - OHADA</t>
  </si>
  <si>
    <t>"195000 - Provisions pour impôts - OHADA"</t>
  </si>
  <si>
    <t>Provisions pour impôts</t>
  </si>
  <si>
    <t>19 - Provisions pour risques et charges - OHADA</t>
  </si>
  <si>
    <t>"196000 - Provisions pour pensions et obligations similaires - OHADA"</t>
  </si>
  <si>
    <t>Provisions pour pensions et obligations similaires</t>
  </si>
  <si>
    <t>19 - Provisions pour risques et charges - OHADA</t>
  </si>
  <si>
    <t>"196100 - Provisions pour pensions et obligations similaires engagement de retraite - OHADA"</t>
  </si>
  <si>
    <t>Provisions pour pensions et obligations similaires engagement de retraite</t>
  </si>
  <si>
    <t>196000 - Provisions pour pensions et obligations similaires - OHADA</t>
  </si>
  <si>
    <t>"196200 - Actif du régime de retraite - OHADA"</t>
  </si>
  <si>
    <t>Actif du régime de retraite</t>
  </si>
  <si>
    <t>196000 - Provisions pour pensions et obligations similaires - OHADA</t>
  </si>
  <si>
    <t>"197000 - Provisions pour restructuration - OHADA"</t>
  </si>
  <si>
    <t>Provisions pour restructuration</t>
  </si>
  <si>
    <t>19 - Provisions pour risques et charges - OHADA</t>
  </si>
  <si>
    <t>"198000 - Autres provisions pour risques et charges - OHADA"</t>
  </si>
  <si>
    <t>Autres provisions pour risques et charges</t>
  </si>
  <si>
    <t>19 - Provisions pour risques et charges - OHADA</t>
  </si>
  <si>
    <t>"198100 - Provisions pour amendes et pénalités - OHADA"</t>
  </si>
  <si>
    <t>Provisions pour amendes et pénalités</t>
  </si>
  <si>
    <t>198000 - Autres provisions pour risques et charges - OHADA</t>
  </si>
  <si>
    <t>"198300 - Provisions pour propre assureur - OHADA"</t>
  </si>
  <si>
    <t>Provisions pour propre assureur</t>
  </si>
  <si>
    <t>198000 - Autres provisions pour risques et charges - OHADA</t>
  </si>
  <si>
    <t>"198400 - Provisions pour démantèlement et remise en état - OHADA"</t>
  </si>
  <si>
    <t>Provisions pour démantèlement et remise en état</t>
  </si>
  <si>
    <t>198000 - Autres provisions pour risques et charges - OHADA</t>
  </si>
  <si>
    <t>"198500 - Provisions pour droits à réduction ou avantage en nature (chèques cadeau, cartes de fidélité...) - OHADA"</t>
  </si>
  <si>
    <t>Provisions pour droits à réduction ou avantage en nature (chèques cadeau, cartes de fidélité...)</t>
  </si>
  <si>
    <t>198000 - Autres provisions pour risques et charges - OHADA</t>
  </si>
  <si>
    <t>"198800 - Provisions pour divers risques et charges - OHADA"</t>
  </si>
  <si>
    <t>Provisions pour divers risques et charges</t>
  </si>
  <si>
    <t>198000 - Autres provisions pour risques et charges - OHADA</t>
  </si>
  <si>
    <t>"2 - Comptes d’actif immobilisé - OHADA"</t>
  </si>
  <si>
    <t>Comptes d’actif immobilisé</t>
  </si>
  <si>
    <t>"21 - Immobilisations incorporelles - OHADA"</t>
  </si>
  <si>
    <t>Immobilisations incorporelles</t>
  </si>
  <si>
    <t>2 - Comptes d’actif immobilisé - OHADA</t>
  </si>
  <si>
    <t>Fixed Asset</t>
  </si>
  <si>
    <t>"211000 - Frais de développement - OHADA"</t>
  </si>
  <si>
    <t>Frais de développement</t>
  </si>
  <si>
    <t>21 - Immobilisations incorporelles - OHADA</t>
  </si>
  <si>
    <t>Fixed Asset</t>
  </si>
  <si>
    <t>"212000 - Brevets, licences, concessions et droits similaires - OHADA"</t>
  </si>
  <si>
    <t>Brevets, licences, concessions et droits similaires</t>
  </si>
  <si>
    <t>21 - Immobilisations incorporelles - OHADA</t>
  </si>
  <si>
    <t>Fixed Asset</t>
  </si>
  <si>
    <t>"212100 - Brevets - OHADA"</t>
  </si>
  <si>
    <t>Brevets</t>
  </si>
  <si>
    <t>212000 - Brevets, licences, concessions et droits similaires - OHADA</t>
  </si>
  <si>
    <t>Fixed Asset</t>
  </si>
  <si>
    <t>"212200 - Licences - OHADA"</t>
  </si>
  <si>
    <t>Licences</t>
  </si>
  <si>
    <t>212000 - Brevets, licences, concessions et droits similaires - OHADA</t>
  </si>
  <si>
    <t>Fixed Asset</t>
  </si>
  <si>
    <t>"212300 - Concessions de service public - OHADA"</t>
  </si>
  <si>
    <t>Concessions de service public</t>
  </si>
  <si>
    <t>212000 - Brevets, licences, concessions et droits similaires - OHADA</t>
  </si>
  <si>
    <t>Fixed Asset</t>
  </si>
  <si>
    <t>"212800 - Autres concessions et droits similaires - OHADA"</t>
  </si>
  <si>
    <t>Autres concessions et droits similaires</t>
  </si>
  <si>
    <t>212000 - Brevets, licences, concessions et droits similaires - OHADA</t>
  </si>
  <si>
    <t>Fixed Asset</t>
  </si>
  <si>
    <t>"213000 - Logiciels et sites internet - OHADA"</t>
  </si>
  <si>
    <t>Logiciels et sites internet</t>
  </si>
  <si>
    <t>21 - Immobilisations incorporelles - OHADA</t>
  </si>
  <si>
    <t>Fixed Asset</t>
  </si>
  <si>
    <t>"213100 - Logiciels - OHADA"</t>
  </si>
  <si>
    <t>Logiciels</t>
  </si>
  <si>
    <t>213000 - Logiciels et sites internet - OHADA</t>
  </si>
  <si>
    <t>Fixed Asset</t>
  </si>
  <si>
    <t>"213200 - Sites internet - OHADA"</t>
  </si>
  <si>
    <t>Sites internet</t>
  </si>
  <si>
    <t>213000 - Logiciels et sites internet - OHADA</t>
  </si>
  <si>
    <t>Fixed Asset</t>
  </si>
  <si>
    <t>"214000 - Marques - OHADA"</t>
  </si>
  <si>
    <t>Marques</t>
  </si>
  <si>
    <t>21 - Immobilisations incorporelles - OHADA</t>
  </si>
  <si>
    <t>Fixed Asset</t>
  </si>
  <si>
    <t>"215000 - Fonds commercial - OHADA"</t>
  </si>
  <si>
    <t>Fonds commercial</t>
  </si>
  <si>
    <t>21 - Immobilisations incorporelles - OHADA</t>
  </si>
  <si>
    <t>Fixed Asset</t>
  </si>
  <si>
    <t>"216000 - Droit au bail - OHADA"</t>
  </si>
  <si>
    <t>Droit au bail</t>
  </si>
  <si>
    <t>21 - Immobilisations incorporelles - OHADA</t>
  </si>
  <si>
    <t>Fixed Asset</t>
  </si>
  <si>
    <t>"217000 - Investissements de création - OHADA"</t>
  </si>
  <si>
    <t>Investissements de création</t>
  </si>
  <si>
    <t>21 - Immobilisations incorporelles - OHADA</t>
  </si>
  <si>
    <t>Fixed Asset</t>
  </si>
  <si>
    <t>"218000 - Autres droits et valeurs incorporels - OHADA"</t>
  </si>
  <si>
    <t>Autres droits et valeurs incorporels</t>
  </si>
  <si>
    <t>21 - Immobilisations incorporelles - OHADA</t>
  </si>
  <si>
    <t>Fixed Asset</t>
  </si>
  <si>
    <t>"218100 - Frais de prospection et d’évaluation de ressources minérales - OHADA"</t>
  </si>
  <si>
    <t>Frais de prospection et d’évaluation de ressources minérales</t>
  </si>
  <si>
    <t>218000 - Autres droits et valeurs incorporels - OHADA</t>
  </si>
  <si>
    <t>Fixed Asset</t>
  </si>
  <si>
    <t>"218200 - Coûts d’obtention du contrat - OHADA"</t>
  </si>
  <si>
    <t>Coûts d’obtention du contrat</t>
  </si>
  <si>
    <t>218000 - Autres droits et valeurs incorporels - OHADA</t>
  </si>
  <si>
    <t>Fixed Asset</t>
  </si>
  <si>
    <t>"218300 - Fichiers clients, notices, titres de journaux et magazines - OHADA"</t>
  </si>
  <si>
    <t>Fichiers clients, notices, titres de journaux et magazines</t>
  </si>
  <si>
    <t>218000 - Autres droits et valeurs incorporels - OHADA</t>
  </si>
  <si>
    <t>Fixed Asset</t>
  </si>
  <si>
    <t>"218400 - Coûts des franchises - OHADA"</t>
  </si>
  <si>
    <t>Coûts des franchises</t>
  </si>
  <si>
    <t>218000 - Autres droits et valeurs incorporels - OHADA</t>
  </si>
  <si>
    <t>Fixed Asset</t>
  </si>
  <si>
    <t>"218800 - Divers droits et valeurs incorporelles - OHADA"</t>
  </si>
  <si>
    <t>Divers droits et valeurs incorporelles</t>
  </si>
  <si>
    <t>218000 - Autres droits et valeurs incorporels - OHADA</t>
  </si>
  <si>
    <t>Fixed Asset</t>
  </si>
  <si>
    <t>"219000 - Immobilisations incorporelles en cours - OHADA"</t>
  </si>
  <si>
    <t>Immobilisations incorporelles en cours</t>
  </si>
  <si>
    <t>21 - Immobilisations incorporelles - OHADA</t>
  </si>
  <si>
    <t>Fixed Asset</t>
  </si>
  <si>
    <t>"219100 - Frais de développement - OHADA"</t>
  </si>
  <si>
    <t>Frais de développement</t>
  </si>
  <si>
    <t>219000 - Immobilisations incorporelles en cours - OHADA</t>
  </si>
  <si>
    <t>Fixed Asset</t>
  </si>
  <si>
    <t>"219300 - Logiciels et internet - OHADA"</t>
  </si>
  <si>
    <t>Logiciels et internet</t>
  </si>
  <si>
    <t>219000 - Immobilisations incorporelles en cours - OHADA</t>
  </si>
  <si>
    <t>Fixed Asset</t>
  </si>
  <si>
    <t>"219800 - Autres droits et valeurs incorporels - OHADA"</t>
  </si>
  <si>
    <t>Autres droits et valeurs incorporels</t>
  </si>
  <si>
    <t>219000 - Immobilisations incorporelles en cours - OHADA</t>
  </si>
  <si>
    <t>Fixed Asset</t>
  </si>
  <si>
    <t>"22 - Terrains - OHADA"</t>
  </si>
  <si>
    <t>Terrains</t>
  </si>
  <si>
    <t>2 - Comptes d’actif immobilisé - OHADA</t>
  </si>
  <si>
    <t>Fixed Asset</t>
  </si>
  <si>
    <t>"221000 - Terrains agricoles et forestiers - OHADA"</t>
  </si>
  <si>
    <t>Terrains agricoles et forestiers</t>
  </si>
  <si>
    <t>22 - Terrains - OHADA</t>
  </si>
  <si>
    <t>Fixed Asset</t>
  </si>
  <si>
    <t>"221100 - Terrains d’exploitation agricole - OHADA"</t>
  </si>
  <si>
    <t>Terrains d’exploitation agricole</t>
  </si>
  <si>
    <t>221000 - Terrains agricoles et forestiers - OHADA</t>
  </si>
  <si>
    <t>Fixed Asset</t>
  </si>
  <si>
    <t>"221200 - Terrains d’exploitation forestière - OHADA"</t>
  </si>
  <si>
    <t>Terrains d’exploitation forestière</t>
  </si>
  <si>
    <t>221000 - Terrains agricoles et forestiers - OHADA</t>
  </si>
  <si>
    <t>Fixed Asset</t>
  </si>
  <si>
    <t>"221800 - Autres terrains - OHADA"</t>
  </si>
  <si>
    <t>Autres terrains</t>
  </si>
  <si>
    <t>221000 - Terrains agricoles et forestiers - OHADA</t>
  </si>
  <si>
    <t>Fixed Asset</t>
  </si>
  <si>
    <t>"222000 - Terrains nus - OHADA"</t>
  </si>
  <si>
    <t>Terrains nus</t>
  </si>
  <si>
    <t>22 - Terrains - OHADA</t>
  </si>
  <si>
    <t>Fixed Asset</t>
  </si>
  <si>
    <t>"222100 - Terrains à bâtir - OHADA"</t>
  </si>
  <si>
    <t>Terrains à bâtir</t>
  </si>
  <si>
    <t>222000 - Terrains nus - OHADA</t>
  </si>
  <si>
    <t>Fixed Asset</t>
  </si>
  <si>
    <t>"222800 - Autres terrains nus - OHADA"</t>
  </si>
  <si>
    <t>Autres terrains nus</t>
  </si>
  <si>
    <t>222000 - Terrains nus - OHADA</t>
  </si>
  <si>
    <t>Fixed Asset</t>
  </si>
  <si>
    <t>"223000 - Terrains bâtis - OHADA"</t>
  </si>
  <si>
    <t>Terrains bâtis</t>
  </si>
  <si>
    <t>22 - Terrains - OHADA</t>
  </si>
  <si>
    <t>Fixed Asset</t>
  </si>
  <si>
    <t>"223100 - Pour bâtiments industriels et agricoles - OHADA"</t>
  </si>
  <si>
    <t>Pour bâtiments industriels et agricoles</t>
  </si>
  <si>
    <t>223000 - Terrains bâtis - OHADA</t>
  </si>
  <si>
    <t>Fixed Asset</t>
  </si>
  <si>
    <t>"223200 - Pour bâtiments administratifs et commerciaux - OHADA"</t>
  </si>
  <si>
    <t>Pour bâtiments administratifs et commerciaux</t>
  </si>
  <si>
    <t>223000 - Terrains bâtis - OHADA</t>
  </si>
  <si>
    <t>Fixed Asset</t>
  </si>
  <si>
    <t>"223400 - Pour bâtiments affectés aux autres opérations professionnelles - OHADA"</t>
  </si>
  <si>
    <t>Pour bâtiments affectés aux autres opérations professionnelles</t>
  </si>
  <si>
    <t>223000 - Terrains bâtis - OHADA</t>
  </si>
  <si>
    <t>Fixed Asset</t>
  </si>
  <si>
    <t>"223500 - Pour bâtiments affectés aux autres opérations non professionnelles - OHADA"</t>
  </si>
  <si>
    <t>Pour bâtiments affectés aux autres opérations non professionnelles</t>
  </si>
  <si>
    <t>223000 - Terrains bâtis - OHADA</t>
  </si>
  <si>
    <t>Fixed Asset</t>
  </si>
  <si>
    <t>"223800 - Autres terrains bâtis - OHADA"</t>
  </si>
  <si>
    <t>Autres terrains bâtis</t>
  </si>
  <si>
    <t>223000 - Terrains bâtis - OHADA</t>
  </si>
  <si>
    <t>Fixed Asset</t>
  </si>
  <si>
    <t>"224000 - Travaux de mise en valeur des terrains - OHADA"</t>
  </si>
  <si>
    <t>Travaux de mise en valeur des terrains</t>
  </si>
  <si>
    <t>22 - Terrains - OHADA</t>
  </si>
  <si>
    <t>Fixed Asset</t>
  </si>
  <si>
    <t>"224100 - Plantation d’arbres et d’arbustes - OHADA"</t>
  </si>
  <si>
    <t>Plantation d’arbres et d’arbustes</t>
  </si>
  <si>
    <t>224000 - Travaux de mise en valeur des terrains - OHADA</t>
  </si>
  <si>
    <t>Fixed Asset</t>
  </si>
  <si>
    <t>"224500 - Améliorations du fonds - OHADA"</t>
  </si>
  <si>
    <t>Améliorations du fonds</t>
  </si>
  <si>
    <t>224000 - Travaux de mise en valeur des terrains - OHADA</t>
  </si>
  <si>
    <t>Fixed Asset</t>
  </si>
  <si>
    <t>"224800 - Autres travaux - OHADA"</t>
  </si>
  <si>
    <t>Autres travaux</t>
  </si>
  <si>
    <t>224000 - Travaux de mise en valeur des terrains - OHADA</t>
  </si>
  <si>
    <t>Fixed Asset</t>
  </si>
  <si>
    <t>"225000 - Terrains de carrières tréfonds - OHADA"</t>
  </si>
  <si>
    <t>Terrains de carrières tréfonds</t>
  </si>
  <si>
    <t>22 - Terrains - OHADA</t>
  </si>
  <si>
    <t>Fixed Asset</t>
  </si>
  <si>
    <t>"225100 - Carrières - OHADA"</t>
  </si>
  <si>
    <t>Carrières</t>
  </si>
  <si>
    <t>225000 - Terrains de carrières tréfonds - OHADA</t>
  </si>
  <si>
    <t>Fixed Asset</t>
  </si>
  <si>
    <t>"226000 - Terrains aménagés - OHADA"</t>
  </si>
  <si>
    <t>Terrains aménagés</t>
  </si>
  <si>
    <t>22 - Terrains - OHADA</t>
  </si>
  <si>
    <t>Fixed Asset</t>
  </si>
  <si>
    <t>"226100 - Parkings - OHADA"</t>
  </si>
  <si>
    <t>Parkings</t>
  </si>
  <si>
    <t>226000 - Terrains aménagés - OHADA</t>
  </si>
  <si>
    <t>Fixed Asset</t>
  </si>
  <si>
    <t>"227000 - Terrains mis en concession - OHADA"</t>
  </si>
  <si>
    <t>Terrains mis en concession</t>
  </si>
  <si>
    <t>22 - Terrains - OHADA</t>
  </si>
  <si>
    <t>Fixed Asset</t>
  </si>
  <si>
    <t>"228000 - Autres terrains - OHADA"</t>
  </si>
  <si>
    <t>Autres terrains</t>
  </si>
  <si>
    <t>22 - Terrains - OHADA</t>
  </si>
  <si>
    <t>Fixed Asset</t>
  </si>
  <si>
    <t>"228100 - Terrains immeubles de placement - OHADA"</t>
  </si>
  <si>
    <t>Terrains immeubles de placement</t>
  </si>
  <si>
    <t>228000 - Autres terrains - OHADA</t>
  </si>
  <si>
    <t>Fixed Asset</t>
  </si>
  <si>
    <t>"228500 - Terrains des logements affectés au personnel - OHADA"</t>
  </si>
  <si>
    <t>Terrains des logements affectés au personnel</t>
  </si>
  <si>
    <t>228000 - Autres terrains - OHADA</t>
  </si>
  <si>
    <t>Fixed Asset</t>
  </si>
  <si>
    <t>"228600 - Terrains de location acquisition - OHADA"</t>
  </si>
  <si>
    <t>Terrains de location acquisition</t>
  </si>
  <si>
    <t>228000 - Autres terrains - OHADA</t>
  </si>
  <si>
    <t>Fixed Asset</t>
  </si>
  <si>
    <t>"228800 - Divers terrains - OHADA"</t>
  </si>
  <si>
    <t>Divers terrains</t>
  </si>
  <si>
    <t>228000 - Autres terrains - OHADA</t>
  </si>
  <si>
    <t>Fixed Asset</t>
  </si>
  <si>
    <t>"229000 - Aménagements de terrains en cours - OHADA"</t>
  </si>
  <si>
    <t>Aménagements de terrains en cours</t>
  </si>
  <si>
    <t>22 - Terrains - OHADA</t>
  </si>
  <si>
    <t>Fixed Asset</t>
  </si>
  <si>
    <t>"229100 - Terrains agricoles et forestiers - OHADA"</t>
  </si>
  <si>
    <t>Terrains agricoles et forestiers</t>
  </si>
  <si>
    <t>229000 - Aménagements de terrains en cours - OHADA</t>
  </si>
  <si>
    <t>Fixed Asset</t>
  </si>
  <si>
    <t>"229200 - Terrains nus - OHADA"</t>
  </si>
  <si>
    <t>Terrains nus</t>
  </si>
  <si>
    <t>229000 - Aménagements de terrains en cours - OHADA</t>
  </si>
  <si>
    <t>Fixed Asset</t>
  </si>
  <si>
    <t>"229500 - Terrains de carrières tréfonds - OHADA"</t>
  </si>
  <si>
    <t>Terrains de carrières tréfonds</t>
  </si>
  <si>
    <t>229000 - Aménagements de terrains en cours - OHADA</t>
  </si>
  <si>
    <t>Fixed Asset</t>
  </si>
  <si>
    <t>"229800 - Autres terrains - OHADA"</t>
  </si>
  <si>
    <t>Autres terrains</t>
  </si>
  <si>
    <t>229000 - Aménagements de terrains en cours - OHADA</t>
  </si>
  <si>
    <t>Fixed Asset</t>
  </si>
  <si>
    <t>"23 - Bâtiments, installations techniques et agencements - OHADA"</t>
  </si>
  <si>
    <t>Bâtiments, installations techniques et agencements</t>
  </si>
  <si>
    <t>2 - Comptes d’actif immobilisé - OHADA</t>
  </si>
  <si>
    <t>"231000 - Bâtiments industriels, agricoles, administratifs et commerciaux sur sol propre - OHADA"</t>
  </si>
  <si>
    <t>Bâtiments industriels, agricoles, administratifs et commerciaux sur sol propre</t>
  </si>
  <si>
    <t>23 - Bâtiments, installations techniques et agencements - OHADA</t>
  </si>
  <si>
    <t>"231100 - Bâtiments industriels - OHADA"</t>
  </si>
  <si>
    <t>Bâtiments industriels</t>
  </si>
  <si>
    <t>231000 - Bâtiments industriels, agricoles, administratifs et commerciaux sur sol propre - OHADA</t>
  </si>
  <si>
    <t>"231200 - Bâtiments agricoles - OHADA"</t>
  </si>
  <si>
    <t>Bâtiments agricoles</t>
  </si>
  <si>
    <t>231000 - Bâtiments industriels, agricoles, administratifs et commerciaux sur sol propre - OHADA</t>
  </si>
  <si>
    <t>"231300 - Bâtiments administratifs et commerciaux - OHADA"</t>
  </si>
  <si>
    <t>Bâtiments administratifs et commerciaux</t>
  </si>
  <si>
    <t>231000 - Bâtiments industriels, agricoles, administratifs et commerciaux sur sol propre - OHADA</t>
  </si>
  <si>
    <t>"231400 - Bâtiments affectés au logement du personnel - OHADA"</t>
  </si>
  <si>
    <t>Bâtiments affectés au logement du personnel</t>
  </si>
  <si>
    <t>231000 - Bâtiments industriels, agricoles, administratifs et commerciaux sur sol propre - OHADA</t>
  </si>
  <si>
    <t>"231500 - Bâtiments immeubles de placement - OHADA"</t>
  </si>
  <si>
    <t>Bâtiments immeubles de placement</t>
  </si>
  <si>
    <t>231000 - Bâtiments industriels, agricoles, administratifs et commerciaux sur sol propre - OHADA</t>
  </si>
  <si>
    <t>"231600 - Bâtiments de location acquisition - OHADA"</t>
  </si>
  <si>
    <t>Bâtiments de location acquisition</t>
  </si>
  <si>
    <t>231000 - Bâtiments industriels, agricoles, administratifs et commerciaux sur sol propre - OHADA</t>
  </si>
  <si>
    <t>"232000 - Bâtiments industriels, agricoles, administratifs et commerciaux sur sol d’autrui - OHADA"</t>
  </si>
  <si>
    <t>Bâtiments industriels, agricoles, administratifs et commerciaux sur sol d’autrui</t>
  </si>
  <si>
    <t>23 - Bâtiments, installations techniques et agencements - OHADA</t>
  </si>
  <si>
    <t>"232100 - Bâtiments industriels - OHADA"</t>
  </si>
  <si>
    <t>Bâtiments industriels</t>
  </si>
  <si>
    <t>232000 - Bâtiments industriels, agricoles, administratifs et commerciaux sur sol d’autrui - OHADA</t>
  </si>
  <si>
    <t>"232200 - Bâtiments agricoles - OHADA"</t>
  </si>
  <si>
    <t>Bâtiments agricoles</t>
  </si>
  <si>
    <t>232000 - Bâtiments industriels, agricoles, administratifs et commerciaux sur sol d’autrui - OHADA</t>
  </si>
  <si>
    <t>"232300 - Bâtiments administratifs et commerciaux - OHADA"</t>
  </si>
  <si>
    <t>Bâtiments administratifs et commerciaux</t>
  </si>
  <si>
    <t>232000 - Bâtiments industriels, agricoles, administratifs et commerciaux sur sol d’autrui - OHADA</t>
  </si>
  <si>
    <t>"232400 - Bâtiments affectés au logement du personnel - OHADA"</t>
  </si>
  <si>
    <t>Bâtiments affectés au logement du personnel</t>
  </si>
  <si>
    <t>232000 - Bâtiments industriels, agricoles, administratifs et commerciaux sur sol d’autrui - OHADA</t>
  </si>
  <si>
    <t>"232500 - Bâtiments immeubles de placement - OHADA"</t>
  </si>
  <si>
    <t>Bâtiments immeubles de placement</t>
  </si>
  <si>
    <t>232000 - Bâtiments industriels, agricoles, administratifs et commerciaux sur sol d’autrui - OHADA</t>
  </si>
  <si>
    <t>"232600 - Bâtiments de location acquisition - OHADA"</t>
  </si>
  <si>
    <t>Bâtiments de location acquisition</t>
  </si>
  <si>
    <t>232000 - Bâtiments industriels, agricoles, administratifs et commerciaux sur sol d’autrui - OHADA</t>
  </si>
  <si>
    <t>"233000 - Ouvrages d’infrastructure - OHADA"</t>
  </si>
  <si>
    <t>Ouvrages d’infrastructure</t>
  </si>
  <si>
    <t>23 - Bâtiments, installations techniques et agencements - OHADA</t>
  </si>
  <si>
    <t>"233100 - Voies de terre - OHADA"</t>
  </si>
  <si>
    <t>Voies de terre</t>
  </si>
  <si>
    <t>233000 - Ouvrages d’infrastructure - OHADA</t>
  </si>
  <si>
    <t>"233200 - Voies de fer - OHADA"</t>
  </si>
  <si>
    <t>Voies de fer</t>
  </si>
  <si>
    <t>233000 - Ouvrages d’infrastructure - OHADA</t>
  </si>
  <si>
    <t>"233300 - Voies d’eau - OHADA"</t>
  </si>
  <si>
    <t>Voies d’eau</t>
  </si>
  <si>
    <t>233000 - Ouvrages d’infrastructure - OHADA</t>
  </si>
  <si>
    <t>"233400 - Barrages, Digues - OHADA"</t>
  </si>
  <si>
    <t>Barrages, Digues</t>
  </si>
  <si>
    <t>233000 - Ouvrages d’infrastructure - OHADA</t>
  </si>
  <si>
    <t>"233500 - Pistes d’aérodrome - OHADA"</t>
  </si>
  <si>
    <t>Pistes d’aérodrome</t>
  </si>
  <si>
    <t>233000 - Ouvrages d’infrastructure - OHADA</t>
  </si>
  <si>
    <t>"233800 - Autres ouvrages d’infrastructures - OHADA"</t>
  </si>
  <si>
    <t>Autres ouvrages d’infrastructures</t>
  </si>
  <si>
    <t>233000 - Ouvrages d’infrastructure - OHADA</t>
  </si>
  <si>
    <t>"234000 - Aménagements, agencements et installations techniques - OHADA"</t>
  </si>
  <si>
    <t>Aménagements, agencements et installations techniques</t>
  </si>
  <si>
    <t>23 - Bâtiments, installations techniques et agencements - OHADA</t>
  </si>
  <si>
    <t>"234100 - Installations complexes spécialisées sur sol propre - OHADA"</t>
  </si>
  <si>
    <t>Installations complexes spécialisées sur sol propre</t>
  </si>
  <si>
    <t>234000 - Aménagements, agencements et installations techniques - OHADA</t>
  </si>
  <si>
    <t>"234200 - Installations complexes spécialisées sur sol d’autrui - OHADA"</t>
  </si>
  <si>
    <t>Installations complexes spécialisées sur sol d’autrui</t>
  </si>
  <si>
    <t>234000 - Aménagements, agencements et installations techniques - OHADA</t>
  </si>
  <si>
    <t>"234300 - Installations à caractère spécifique sur sol propre - OHADA"</t>
  </si>
  <si>
    <t>Installations à caractère spécifique sur sol propre</t>
  </si>
  <si>
    <t>234000 - Aménagements, agencements et installations techniques - OHADA</t>
  </si>
  <si>
    <t>"234400 - Installations à caractère spécifique sur sol d’autrui - OHADA"</t>
  </si>
  <si>
    <t>Installations à caractère spécifique sur sol d’autrui</t>
  </si>
  <si>
    <t>234000 - Aménagements, agencements et installations techniques - OHADA</t>
  </si>
  <si>
    <t>"234500 - Aménagements et agencements des bâtiments - OHADA"</t>
  </si>
  <si>
    <t>Aménagements et agencements des bâtiments</t>
  </si>
  <si>
    <t>234000 - Aménagements, agencements et installations techniques - OHADA</t>
  </si>
  <si>
    <t>"235000 - Aménagements de bureaux - OHADA"</t>
  </si>
  <si>
    <t>Aménagements de bureaux</t>
  </si>
  <si>
    <t>23 - Bâtiments, installations techniques et agencements - OHADA</t>
  </si>
  <si>
    <t>"235100 - Installations générales - OHADA"</t>
  </si>
  <si>
    <t>Installations générales</t>
  </si>
  <si>
    <t>235000 - Aménagements de bureaux - OHADA</t>
  </si>
  <si>
    <t>"235800 - Autres aménagements de bureaux - OHADA"</t>
  </si>
  <si>
    <t>Autres aménagements de bureaux</t>
  </si>
  <si>
    <t>235000 - Aménagements de bureaux - OHADA</t>
  </si>
  <si>
    <t>"237000 - Bâtiments industriels, agricoles et commerciaux mis en concession - OHADA"</t>
  </si>
  <si>
    <t>Bâtiments industriels, agricoles et commerciaux mis en concession</t>
  </si>
  <si>
    <t>23 - Bâtiments, installations techniques et agencements - OHADA</t>
  </si>
  <si>
    <t>"238000 - Autres installations et agencements - OHADA"</t>
  </si>
  <si>
    <t>Autres installations et agencements</t>
  </si>
  <si>
    <t>23 - Bâtiments, installations techniques et agencements - OHADA</t>
  </si>
  <si>
    <t>"239000 - Bâtiments aménagements, agencements et installations en cours - OHADA"</t>
  </si>
  <si>
    <t>Bâtiments aménagements, agencements et installations en cours</t>
  </si>
  <si>
    <t>23 - Bâtiments, installations techniques et agencements - OHADA</t>
  </si>
  <si>
    <t>"239100 - Bâtiments en cours - OHADA"</t>
  </si>
  <si>
    <t>Bâtiments en cours</t>
  </si>
  <si>
    <t>239000 - Bâtiments aménagements, agencements et installations en cours - OHADA</t>
  </si>
  <si>
    <t>"239200 - Installations en cours - OHADA"</t>
  </si>
  <si>
    <t>Installations en cours</t>
  </si>
  <si>
    <t>239000 - Bâtiments aménagements, agencements et installations en cours - OHADA</t>
  </si>
  <si>
    <t>"239300 - Ouvrages d’infrastructure en cours - OHADA"</t>
  </si>
  <si>
    <t>Ouvrages d’infrastructure en cours</t>
  </si>
  <si>
    <t>239000 - Bâtiments aménagements, agencements et installations en cours - OHADA</t>
  </si>
  <si>
    <t>"239400 - Aménagements et agencements et installations techniques en cours - OHADA"</t>
  </si>
  <si>
    <t>Aménagements et agencements et installations techniques en cours</t>
  </si>
  <si>
    <t>239000 - Bâtiments aménagements, agencements et installations en cours - OHADA</t>
  </si>
  <si>
    <t>"239500 - Aménagements de bureaux en cours - OHADA"</t>
  </si>
  <si>
    <t>Aménagements de bureaux en cours</t>
  </si>
  <si>
    <t>239000 - Bâtiments aménagements, agencements et installations en cours - OHADA</t>
  </si>
  <si>
    <t>"239800 - Autres installations et agencements en cours - OHADA"</t>
  </si>
  <si>
    <t>Autres installations et agencements en cours</t>
  </si>
  <si>
    <t>239000 - Bâtiments aménagements, agencements et installations en cours - OHADA</t>
  </si>
  <si>
    <t>"24 - Matériel, mobilier et actifs biologiques - OHADA"</t>
  </si>
  <si>
    <t>Matériel, mobilier et actifs biologiques</t>
  </si>
  <si>
    <t>2 - Comptes d’actif immobilisé - OHADA</t>
  </si>
  <si>
    <t>"241000 - Matériel et outillage industriel et commercial - OHADA"</t>
  </si>
  <si>
    <t>Matériel et outillage industriel et commercial</t>
  </si>
  <si>
    <t>24 - Matériel, mobilier et actifs biologiques - OHADA</t>
  </si>
  <si>
    <t>"241100 - Matériel industriel - OHADA"</t>
  </si>
  <si>
    <t>Matériel industriel</t>
  </si>
  <si>
    <t>241000 - Matériel et outillage industriel et commercial - OHADA</t>
  </si>
  <si>
    <t>"241200 - Outillage industriel - OHADA"</t>
  </si>
  <si>
    <t>Outillage industriel</t>
  </si>
  <si>
    <t>241000 - Matériel et outillage industriel et commercial - OHADA</t>
  </si>
  <si>
    <t>"241300 - Matériel commercial - OHADA"</t>
  </si>
  <si>
    <t>Matériel commercial</t>
  </si>
  <si>
    <t>241000 - Matériel et outillage industriel et commercial - OHADA</t>
  </si>
  <si>
    <t>"241400 - Outillage commercial - OHADA"</t>
  </si>
  <si>
    <t>Outillage commercial</t>
  </si>
  <si>
    <t>241000 - Matériel et outillage industriel et commercial - OHADA</t>
  </si>
  <si>
    <t>"241600 - Matériel &amp; outillage industriel et commercial de location-acquisition - OHADA"</t>
  </si>
  <si>
    <t>Matériel &amp; outillage industriel et commercial de location-acquisition</t>
  </si>
  <si>
    <t>241000 - Matériel et outillage industriel et commercial - OHADA</t>
  </si>
  <si>
    <t>"242000 - Matériel et outillage agricole - OHADA"</t>
  </si>
  <si>
    <t>Matériel et outillage agricole</t>
  </si>
  <si>
    <t>24 - Matériel, mobilier et actifs biologiques - OHADA</t>
  </si>
  <si>
    <t>"242100 - Matériel agricole - OHADA"</t>
  </si>
  <si>
    <t>Matériel agricole</t>
  </si>
  <si>
    <t>242000 - Matériel et outillage agricole - OHADA</t>
  </si>
  <si>
    <t>"242200 - Outillage agricole - OHADA"</t>
  </si>
  <si>
    <t>Outillage agricole</t>
  </si>
  <si>
    <t>242000 - Matériel et outillage agricole - OHADA</t>
  </si>
  <si>
    <t>"242600 - Matériel &amp; outillage agricole de location-acquisition - OHADA"</t>
  </si>
  <si>
    <t>Matériel &amp; outillage agricole de location-acquisition</t>
  </si>
  <si>
    <t>242000 - Matériel et outillage agricole - OHADA</t>
  </si>
  <si>
    <t>"243000 - Matériel d’emballage récupérable et identifiable - OHADA"</t>
  </si>
  <si>
    <t>Matériel d’emballage récupérable et identifiable</t>
  </si>
  <si>
    <t>24 - Matériel, mobilier et actifs biologiques - OHADA</t>
  </si>
  <si>
    <t>"244000 - Matériel et mobilier - OHADA"</t>
  </si>
  <si>
    <t>Matériel et mobilier</t>
  </si>
  <si>
    <t>24 - Matériel, mobilier et actifs biologiques - OHADA</t>
  </si>
  <si>
    <t>"244100 - Matériel de bureau - OHADA"</t>
  </si>
  <si>
    <t>Matériel de bureau</t>
  </si>
  <si>
    <t>244000 - Matériel et mobilier - OHADA</t>
  </si>
  <si>
    <t>"244200 - Matériel informatique - OHADA"</t>
  </si>
  <si>
    <t>Matériel informatique</t>
  </si>
  <si>
    <t>244000 - Matériel et mobilier - OHADA</t>
  </si>
  <si>
    <t>"244300 - Matériel bureautique - OHADA"</t>
  </si>
  <si>
    <t>Matériel bureautique</t>
  </si>
  <si>
    <t>244000 - Matériel et mobilier - OHADA</t>
  </si>
  <si>
    <t>"244400 - Mobilier de bureau - OHADA"</t>
  </si>
  <si>
    <t>Mobilier de bureau</t>
  </si>
  <si>
    <t>244000 - Matériel et mobilier - OHADA</t>
  </si>
  <si>
    <t>"244500 - Matériel et mobilier immeubles de placement - OHADA"</t>
  </si>
  <si>
    <t>Matériel et mobilier immeubles de placement</t>
  </si>
  <si>
    <t>244000 - Matériel et mobilier - OHADA</t>
  </si>
  <si>
    <t>"244600 - Matériel et mobilier de location acquisition - OHADA"</t>
  </si>
  <si>
    <t>Matériel et mobilier de location acquisition</t>
  </si>
  <si>
    <t>244000 - Matériel et mobilier - OHADA</t>
  </si>
  <si>
    <t>"244700 - Matériel et mobilier des logements du personnel - OHADA"</t>
  </si>
  <si>
    <t>Matériel et mobilier des logements du personnel</t>
  </si>
  <si>
    <t>244000 - Matériel et mobilier - OHADA</t>
  </si>
  <si>
    <t>"245000 - Matériel de transport - OHADA"</t>
  </si>
  <si>
    <t>Matériel de transport</t>
  </si>
  <si>
    <t>24 - Matériel, mobilier et actifs biologiques - OHADA</t>
  </si>
  <si>
    <t>"245100 - Matériel automobile - OHADA"</t>
  </si>
  <si>
    <t>Matériel automobile</t>
  </si>
  <si>
    <t>245000 - Matériel de transport - OHADA</t>
  </si>
  <si>
    <t>"245200 - Matériel ferroviaire - OHADA"</t>
  </si>
  <si>
    <t>Matériel ferroviaire</t>
  </si>
  <si>
    <t>245000 - Matériel de transport - OHADA</t>
  </si>
  <si>
    <t>"245300 - Matériel fluvial, lagunaire - OHADA"</t>
  </si>
  <si>
    <t>Matériel fluvial, lagunaire</t>
  </si>
  <si>
    <t>245000 - Matériel de transport - OHADA</t>
  </si>
  <si>
    <t>"245400 - Matériel naval - OHADA"</t>
  </si>
  <si>
    <t>Matériel naval</t>
  </si>
  <si>
    <t>245000 - Matériel de transport - OHADA</t>
  </si>
  <si>
    <t>"245500 - Matériel aérien - OHADA"</t>
  </si>
  <si>
    <t>Matériel aérien</t>
  </si>
  <si>
    <t>245000 - Matériel de transport - OHADA</t>
  </si>
  <si>
    <t>"245600 - Matériel de transport de location-acquisition - OHADA"</t>
  </si>
  <si>
    <t>Matériel de transport de location-acquisition</t>
  </si>
  <si>
    <t>245000 - Matériel de transport - OHADA</t>
  </si>
  <si>
    <t>"245700 - Matériel hippomobile - OHADA"</t>
  </si>
  <si>
    <t>Matériel hippomobile</t>
  </si>
  <si>
    <t>245000 - Matériel de transport - OHADA</t>
  </si>
  <si>
    <t>"245800 - Autres matériels de transport - OHADA"</t>
  </si>
  <si>
    <t>Autres matériels de transport</t>
  </si>
  <si>
    <t>245000 - Matériel de transport - OHADA</t>
  </si>
  <si>
    <t>"246000 - Actifs biologiques - OHADA"</t>
  </si>
  <si>
    <t>Actifs biologiques</t>
  </si>
  <si>
    <t>24 - Matériel, mobilier et actifs biologiques - OHADA</t>
  </si>
  <si>
    <t>"246100 - Cheptel, animaux de trait - OHADA"</t>
  </si>
  <si>
    <t>Cheptel, animaux de trait</t>
  </si>
  <si>
    <t>246000 - Actifs biologiques - OHADA</t>
  </si>
  <si>
    <t>"246200 - Cheptel, animaux reproducteurs - OHADA"</t>
  </si>
  <si>
    <t>Cheptel, animaux reproducteurs</t>
  </si>
  <si>
    <t>246000 - Actifs biologiques - OHADA</t>
  </si>
  <si>
    <t>"246300 - Animaux de garde - OHADA"</t>
  </si>
  <si>
    <t>Animaux de garde</t>
  </si>
  <si>
    <t>246000 - Actifs biologiques - OHADA</t>
  </si>
  <si>
    <t>"246500 - Plantations agricoles - OHADA"</t>
  </si>
  <si>
    <t>Plantations agricoles</t>
  </si>
  <si>
    <t>246000 - Actifs biologiques - OHADA</t>
  </si>
  <si>
    <t>"246800 - Autres actifs biologiques - OHADA"</t>
  </si>
  <si>
    <t>Autres actifs biologiques</t>
  </si>
  <si>
    <t>246000 - Actifs biologiques - OHADA</t>
  </si>
  <si>
    <t>"247000 - Agencements, aménagements du matériel et actifs biologiques - OHADA"</t>
  </si>
  <si>
    <t>Agencements, aménagements du matériel et actifs biologiques</t>
  </si>
  <si>
    <t>24 - Matériel, mobilier et actifs biologiques - OHADA</t>
  </si>
  <si>
    <t>"247100 - Agencements et aménagements du matériel - OHADA"</t>
  </si>
  <si>
    <t>Agencements et aménagements du matériel</t>
  </si>
  <si>
    <t>247000 - Agencements, aménagements du matériel et actifs biologiques - OHADA</t>
  </si>
  <si>
    <t>"247200 - Agencements et aménagements des actifs biologiques - OHADA"</t>
  </si>
  <si>
    <t>Agencements et aménagements des actifs biologiques</t>
  </si>
  <si>
    <t>247000 - Agencements, aménagements du matériel et actifs biologiques - OHADA</t>
  </si>
  <si>
    <t>"247800 - Autres agencements, aménagements du matériel et actifs biologiques - OHADA"</t>
  </si>
  <si>
    <t>Autres agencements, aménagements du matériel et actifs biologiques</t>
  </si>
  <si>
    <t>247000 - Agencements, aménagements du matériel et actifs biologiques - OHADA</t>
  </si>
  <si>
    <t>"248000 - Autres matériels et mobiliers - OHADA"</t>
  </si>
  <si>
    <t>Autres matériels et mobiliers</t>
  </si>
  <si>
    <t>24 - Matériel, mobilier et actifs biologiques - OHADA</t>
  </si>
  <si>
    <t>"248100 - Collections et œuvres d’art - OHADA"</t>
  </si>
  <si>
    <t>Collections et œuvres d’art</t>
  </si>
  <si>
    <t>248000 - Autres matériels et mobiliers - OHADA</t>
  </si>
  <si>
    <t>"248800 - Divers matériels mobiliers - OHADA"</t>
  </si>
  <si>
    <t>Divers matériels mobiliers</t>
  </si>
  <si>
    <t>248000 - Autres matériels et mobiliers - OHADA</t>
  </si>
  <si>
    <t>"249000 - Matériels et actifs biologiques en cours - OHADA"</t>
  </si>
  <si>
    <t>Matériels et actifs biologiques en cours</t>
  </si>
  <si>
    <t>24 - Matériel, mobilier et actifs biologiques - OHADA</t>
  </si>
  <si>
    <t>"249100 - Matériel et outillage industriel et commercial - OHADA"</t>
  </si>
  <si>
    <t>Matériel et outillage industriel et commercial</t>
  </si>
  <si>
    <t>249000 - Matériels et actifs biologiques en cours - OHADA</t>
  </si>
  <si>
    <t>"249200 - Matériel et outillage agricole - OHADA"</t>
  </si>
  <si>
    <t>Matériel et outillage agricole</t>
  </si>
  <si>
    <t>249000 - Matériels et actifs biologiques en cours - OHADA</t>
  </si>
  <si>
    <t>"249300 - Matériel d’emballage récupérable et identifiable - OHADA"</t>
  </si>
  <si>
    <t>Matériel d’emballage récupérable et identifiable</t>
  </si>
  <si>
    <t>249000 - Matériels et actifs biologiques en cours - OHADA</t>
  </si>
  <si>
    <t>"249400 - Matériel et mobilier de bureau - OHADA"</t>
  </si>
  <si>
    <t>Matériel et mobilier de bureau</t>
  </si>
  <si>
    <t>249000 - Matériels et actifs biologiques en cours - OHADA</t>
  </si>
  <si>
    <t>"249500 - Matériel de transport - OHADA"</t>
  </si>
  <si>
    <t>Matériel de transport</t>
  </si>
  <si>
    <t>249000 - Matériels et actifs biologiques en cours - OHADA</t>
  </si>
  <si>
    <t>"249600 - Actifs biologiques - OHADA"</t>
  </si>
  <si>
    <t>Actifs biologiques</t>
  </si>
  <si>
    <t>249000 - Matériels et actifs biologiques en cours - OHADA</t>
  </si>
  <si>
    <t>"249700 - Agencements aménagements du matériel et actifs biologiques - OHADA"</t>
  </si>
  <si>
    <t>Agencements aménagements du matériel et actifs biologiques</t>
  </si>
  <si>
    <t>249000 - Matériels et actifs biologiques en cours - OHADA</t>
  </si>
  <si>
    <t>"249800 - Autres matériels et actifs biologiques en cours - OHADA"</t>
  </si>
  <si>
    <t>Autres matériels et actifs biologiques en cours</t>
  </si>
  <si>
    <t>249000 - Matériels et actifs biologiques en cours - OHADA</t>
  </si>
  <si>
    <t>"25 - Avances et acomptes versés sur immobilisations - OHADA"</t>
  </si>
  <si>
    <t>Avances et acomptes versés sur immobilisations</t>
  </si>
  <si>
    <t>2 - Comptes d’actif immobilisé - OHADA</t>
  </si>
  <si>
    <t>"251000 - Avances et acomptes versés sur immobilisations incorporelles - OHADA"</t>
  </si>
  <si>
    <t>Avances et acomptes versés sur immobilisations incorporelles</t>
  </si>
  <si>
    <t>25 - Avances et acomptes versés sur immobilisations - OHADA</t>
  </si>
  <si>
    <t>"252000 - Avances et acomptes versés sur immobilisations corporelles - OHADA"</t>
  </si>
  <si>
    <t>Avances et acomptes versés sur immobilisations corporelles</t>
  </si>
  <si>
    <t>25 - Avances et acomptes versés sur immobilisations - OHADA</t>
  </si>
  <si>
    <t>"26 - Titres de participation - OHADA"</t>
  </si>
  <si>
    <t>Titres de participation</t>
  </si>
  <si>
    <t>2 - Comptes d’actif immobilisé - OHADA</t>
  </si>
  <si>
    <t>"261000 - Titres de participation dans des sociétés sous contrôle exclusif - OHADA"</t>
  </si>
  <si>
    <t>Titres de participation dans des sociétés sous contrôle exclusif</t>
  </si>
  <si>
    <t>26 - Titres de participation - OHADA</t>
  </si>
  <si>
    <t>"262000 - Titres de participation dans des sociétés sous contrôle conjoint - OHADA"</t>
  </si>
  <si>
    <t>Titres de participation dans des sociétés sous contrôle conjoint</t>
  </si>
  <si>
    <t>26 - Titres de participation - OHADA</t>
  </si>
  <si>
    <t>"263000 - Titres de participation dans des sociétés conférant une influence notable - OHADA"</t>
  </si>
  <si>
    <t>Titres de participation dans des sociétés conférant une influence notable</t>
  </si>
  <si>
    <t>26 - Titres de participation - OHADA</t>
  </si>
  <si>
    <t>"265000 - Participations dans des organismes professionnels - OHADA"</t>
  </si>
  <si>
    <t>Participations dans des organismes professionnels</t>
  </si>
  <si>
    <t>26 - Titres de participation - OHADA</t>
  </si>
  <si>
    <t>"266000 - Parts dans des groupements d’intérêt économique (GIE) - OHADA"</t>
  </si>
  <si>
    <t>Parts dans des groupements d’intérêt économique (GIE)</t>
  </si>
  <si>
    <t>26 - Titres de participation - OHADA</t>
  </si>
  <si>
    <t>"268000 - Autres titres de participation - OHADA"</t>
  </si>
  <si>
    <t>Autres titres de participation</t>
  </si>
  <si>
    <t>26 - Titres de participation - OHADA</t>
  </si>
  <si>
    <t>"27 - Autres immobilisations financières - OHADA"</t>
  </si>
  <si>
    <t>Autres immobilisations financières</t>
  </si>
  <si>
    <t>2 - Comptes d’actif immobilisé - OHADA</t>
  </si>
  <si>
    <t>"271000 - Prêts et créances - OHADA"</t>
  </si>
  <si>
    <t>Prêts et créances</t>
  </si>
  <si>
    <t>27 - Autres immobilisations financières - OHADA</t>
  </si>
  <si>
    <t>"271100 - Prêts participatifs - OHADA"</t>
  </si>
  <si>
    <t>Prêts participatifs</t>
  </si>
  <si>
    <t>271000 - Prêts et créances - OHADA</t>
  </si>
  <si>
    <t>"271200 - Prêts aux associés - OHADA"</t>
  </si>
  <si>
    <t>Prêts aux associés</t>
  </si>
  <si>
    <t>271000 - Prêts et créances - OHADA</t>
  </si>
  <si>
    <t>"271300 - Billets de fonds - OHADA"</t>
  </si>
  <si>
    <t>Billets de fonds</t>
  </si>
  <si>
    <t>271000 - Prêts et créances - OHADA</t>
  </si>
  <si>
    <t>"271400 - Titres prêtés - OHADA"</t>
  </si>
  <si>
    <t>Titres prêtés</t>
  </si>
  <si>
    <t>271000 - Prêts et créances - OHADA</t>
  </si>
  <si>
    <t>"271800 - Autres prêts et créances - OHADA"</t>
  </si>
  <si>
    <t>Autres prêts et créances</t>
  </si>
  <si>
    <t>271000 - Prêts et créances - OHADA</t>
  </si>
  <si>
    <t>"272000 - Prêts au personnel - OHADA"</t>
  </si>
  <si>
    <t>Prêts au personnel</t>
  </si>
  <si>
    <t>27 - Autres immobilisations financières - OHADA</t>
  </si>
  <si>
    <t>"272100 - Prêts immobiliers - OHADA"</t>
  </si>
  <si>
    <t>Prêts immobiliers</t>
  </si>
  <si>
    <t>272000 - Prêts au personnel - OHADA</t>
  </si>
  <si>
    <t>"272200 - Prêts mobiliers et d’installation - OHADA"</t>
  </si>
  <si>
    <t>Prêts mobiliers et d’installation</t>
  </si>
  <si>
    <t>272000 - Prêts au personnel - OHADA</t>
  </si>
  <si>
    <t>"272800 - Autres prêts au personnel - OHADA"</t>
  </si>
  <si>
    <t>Autres prêts au personnel</t>
  </si>
  <si>
    <t>272000 - Prêts au personnel - OHADA</t>
  </si>
  <si>
    <t>"273000 - Créances sur l’État - OHADA"</t>
  </si>
  <si>
    <t>Créances sur l’État</t>
  </si>
  <si>
    <t>27 - Autres immobilisations financières - OHADA</t>
  </si>
  <si>
    <t>"273100 - Retenues de garantie - OHADA"</t>
  </si>
  <si>
    <t>Retenues de garantie</t>
  </si>
  <si>
    <t>273000 - Créances sur l’État - OHADA</t>
  </si>
  <si>
    <t>"273300 - Fonds réglementé - OHADA"</t>
  </si>
  <si>
    <t>Fonds réglementé</t>
  </si>
  <si>
    <t>273000 - Créances sur l’État - OHADA</t>
  </si>
  <si>
    <t>"273400 - Créances sur le concédant - OHADA"</t>
  </si>
  <si>
    <t>Créances sur le concédant</t>
  </si>
  <si>
    <t>273000 - Créances sur l’État - OHADA</t>
  </si>
  <si>
    <t>"273800 - Autres créances sur l’État - OHADA"</t>
  </si>
  <si>
    <t>Autres créances sur l’État</t>
  </si>
  <si>
    <t>273000 - Créances sur l’État - OHADA</t>
  </si>
  <si>
    <t>"274000 - Titres immobilisés - OHADA"</t>
  </si>
  <si>
    <t>Titres immobilisés</t>
  </si>
  <si>
    <t>27 - Autres immobilisations financières - OHADA</t>
  </si>
  <si>
    <t>"274100 - Titres immobilisés de l’activité de portefeuille (TIAP) - OHADA"</t>
  </si>
  <si>
    <t>Titres immobilisés de l’activité de portefeuille (TIAP)</t>
  </si>
  <si>
    <t>274000 - Titres immobilisés - OHADA</t>
  </si>
  <si>
    <t>"274200 - Titres participatifs - OHADA"</t>
  </si>
  <si>
    <t>Titres participatifs</t>
  </si>
  <si>
    <t>274000 - Titres immobilisés - OHADA</t>
  </si>
  <si>
    <t>"274300 - Certificats d’investissement - OHADA"</t>
  </si>
  <si>
    <t>Certificats d’investissement</t>
  </si>
  <si>
    <t>274000 - Titres immobilisés - OHADA</t>
  </si>
  <si>
    <t>"274400 - Parts de fonds commun de placement (FCP) - OHADA"</t>
  </si>
  <si>
    <t>Parts de fonds commun de placement (FCP)</t>
  </si>
  <si>
    <t>274000 - Titres immobilisés - OHADA</t>
  </si>
  <si>
    <t>"274500 - Obligations - OHADA"</t>
  </si>
  <si>
    <t>Obligations</t>
  </si>
  <si>
    <t>274000 - Titres immobilisés - OHADA</t>
  </si>
  <si>
    <t>"274600 - Actions ou parts propres - OHADA"</t>
  </si>
  <si>
    <t>Actions ou parts propres</t>
  </si>
  <si>
    <t>274000 - Titres immobilisés - OHADA</t>
  </si>
  <si>
    <t>"274800 - Autres titres immobilisés - OHADA"</t>
  </si>
  <si>
    <t>Autres titres immobilisés</t>
  </si>
  <si>
    <t>274000 - Titres immobilisés - OHADA</t>
  </si>
  <si>
    <t>"275000 - Dépôts et cautionnements versés - OHADA"</t>
  </si>
  <si>
    <t>Dépôts et cautionnements versés</t>
  </si>
  <si>
    <t>27 - Autres immobilisations financières - OHADA</t>
  </si>
  <si>
    <t>"275100 - Dépôts pour loyers d’avance - OHADA"</t>
  </si>
  <si>
    <t>Dépôts pour loyers d’avance</t>
  </si>
  <si>
    <t>275000 - Dépôts et cautionnements versés - OHADA</t>
  </si>
  <si>
    <t>"275200 - Dépôts pour l’électricité - OHADA"</t>
  </si>
  <si>
    <t>Dépôts pour l’électricité</t>
  </si>
  <si>
    <t>275000 - Dépôts et cautionnements versés - OHADA</t>
  </si>
  <si>
    <t>"275300 - Dépôts pour l’eau - OHADA"</t>
  </si>
  <si>
    <t>Dépôts pour l’eau</t>
  </si>
  <si>
    <t>275000 - Dépôts et cautionnements versés - OHADA</t>
  </si>
  <si>
    <t>"275400 - Dépôts pour le gaz - OHADA"</t>
  </si>
  <si>
    <t>Dépôts pour le gaz</t>
  </si>
  <si>
    <t>275000 - Dépôts et cautionnements versés - OHADA</t>
  </si>
  <si>
    <t>"275500 - Dépôts pour le téléphone, le télex, la télécopie - OHADA"</t>
  </si>
  <si>
    <t>Dépôts pour le téléphone, le télex, la télécopie</t>
  </si>
  <si>
    <t>275000 - Dépôts et cautionnements versés - OHADA</t>
  </si>
  <si>
    <t>"275600 - Cautionnements sur marchés publics - OHADA"</t>
  </si>
  <si>
    <t>Cautionnements sur marchés publics</t>
  </si>
  <si>
    <t>275000 - Dépôts et cautionnements versés - OHADA</t>
  </si>
  <si>
    <t>"275700 - Cautionnements sur autres opérations - OHADA"</t>
  </si>
  <si>
    <t>Cautionnements sur autres opérations</t>
  </si>
  <si>
    <t>275000 - Dépôts et cautionnements versés - OHADA</t>
  </si>
  <si>
    <t>"275800 - Autres dépôts et cautionnements - OHADA"</t>
  </si>
  <si>
    <t>Autres dépôts et cautionnements</t>
  </si>
  <si>
    <t>275000 - Dépôts et cautionnements versés - OHADA</t>
  </si>
  <si>
    <t>"276000 - Intérêts courus - OHADA"</t>
  </si>
  <si>
    <t>Intérêts courus</t>
  </si>
  <si>
    <t>27 - Autres immobilisations financières - OHADA</t>
  </si>
  <si>
    <t>"276100 - Prêts et créances non commerciales - OHADA"</t>
  </si>
  <si>
    <t>Prêts et créances non commerciales</t>
  </si>
  <si>
    <t>276000 - Intérêts courus - OHADA</t>
  </si>
  <si>
    <t>"276200 - Prêts au personnel - OHADA"</t>
  </si>
  <si>
    <t>Prêts au personnel</t>
  </si>
  <si>
    <t>276000 - Intérêts courus - OHADA</t>
  </si>
  <si>
    <t>"276300 - Créances sur l’État - OHADA"</t>
  </si>
  <si>
    <t>Créances sur l’État</t>
  </si>
  <si>
    <t>276000 - Intérêts courus - OHADA</t>
  </si>
  <si>
    <t>"276400 - Titres immobilisés - OHADA"</t>
  </si>
  <si>
    <t>Titres immobilisés</t>
  </si>
  <si>
    <t>276000 - Intérêts courus - OHADA</t>
  </si>
  <si>
    <t>"276500 - Dépôts et cautionnements versés - OHADA"</t>
  </si>
  <si>
    <t>Dépôts et cautionnements versés</t>
  </si>
  <si>
    <t>276000 - Intérêts courus - OHADA</t>
  </si>
  <si>
    <t>"276700 - Créances rattachées à des participations - OHADA"</t>
  </si>
  <si>
    <t>Créances rattachées à des participations</t>
  </si>
  <si>
    <t>276000 - Intérêts courus - OHADA</t>
  </si>
  <si>
    <t>"276800 - Immobilisations financières diverses - OHADA"</t>
  </si>
  <si>
    <t>Immobilisations financières diverses</t>
  </si>
  <si>
    <t>276000 - Intérêts courus - OHADA</t>
  </si>
  <si>
    <t>"277000 - Créances rattachées à des participations et avances à des GIE - OHADA"</t>
  </si>
  <si>
    <t>Créances rattachées à des participations et avances à des GIE</t>
  </si>
  <si>
    <t>27 - Autres immobilisations financières - OHADA</t>
  </si>
  <si>
    <t>"277100 - Créances rattachées à des participations (groupe) - OHADA"</t>
  </si>
  <si>
    <t>Créances rattachées à des participations (groupe)</t>
  </si>
  <si>
    <t>277000 - Créances rattachées à des participations et avances à des GIE - OHADA</t>
  </si>
  <si>
    <t>"277200 - Créances rattachées à des participations (hors groupe) - OHADA"</t>
  </si>
  <si>
    <t>Créances rattachées à des participations (hors groupe)</t>
  </si>
  <si>
    <t>277000 - Créances rattachées à des participations et avances à des GIE - OHADA</t>
  </si>
  <si>
    <t>"277300 - Créances rattachées à des sociétés en participation - OHADA"</t>
  </si>
  <si>
    <t>Créances rattachées à des sociétés en participation</t>
  </si>
  <si>
    <t>277000 - Créances rattachées à des participations et avances à des GIE - OHADA</t>
  </si>
  <si>
    <t>"277400 - Avances à des Groupements d’intérêt économique (GIE) - OHADA"</t>
  </si>
  <si>
    <t>Avances à des Groupements d’intérêt économique (GIE)</t>
  </si>
  <si>
    <t>277000 - Créances rattachées à des participations et avances à des GIE - OHADA</t>
  </si>
  <si>
    <t>"278000 - Immobilisations financières diverses - OHADA"</t>
  </si>
  <si>
    <t>Immobilisations financières diverses</t>
  </si>
  <si>
    <t>27 - Autres immobilisations financières - OHADA</t>
  </si>
  <si>
    <t>"278100 - Créances diverses groupe - OHADA"</t>
  </si>
  <si>
    <t>Créances diverses groupe</t>
  </si>
  <si>
    <t>278000 - Immobilisations financières diverses - OHADA</t>
  </si>
  <si>
    <t>"278200 - Créances diverses hors groupe - OHADA"</t>
  </si>
  <si>
    <t>Créances diverses hors groupe</t>
  </si>
  <si>
    <t>278000 - Immobilisations financières diverses - OHADA</t>
  </si>
  <si>
    <t>"278400 - Banques dépôts à terme - OHADA"</t>
  </si>
  <si>
    <t>Banques dépôts à terme</t>
  </si>
  <si>
    <t>278000 - Immobilisations financières diverses - OHADA</t>
  </si>
  <si>
    <t>"278500 - Or et métaux précieux - OHADA"</t>
  </si>
  <si>
    <t>Or et métaux précieux</t>
  </si>
  <si>
    <t>278000 - Immobilisations financières diverses - OHADA</t>
  </si>
  <si>
    <t>"278800 - Autres immobilisations financières - OHADA"</t>
  </si>
  <si>
    <t>Autres immobilisations financières</t>
  </si>
  <si>
    <t>278000 - Immobilisations financières diverses - OHADA</t>
  </si>
  <si>
    <t>"28 - Amortissements - OHADA"</t>
  </si>
  <si>
    <t>Amortissements</t>
  </si>
  <si>
    <t>2 - Comptes d’actif immobilisé - OHADA</t>
  </si>
  <si>
    <t>Accumulated Depreciation</t>
  </si>
  <si>
    <t>"281000 - Amortissements des immobilisations corporelles - OHADA"</t>
  </si>
  <si>
    <t>Amortissements des immobilisations corporelles</t>
  </si>
  <si>
    <t>28 - Amortissements - OHADA</t>
  </si>
  <si>
    <t>Accumulated Depreciation</t>
  </si>
  <si>
    <t>"281100 - Amortissements des frais de développement - OHADA"</t>
  </si>
  <si>
    <t>Amortissements des frais de développement</t>
  </si>
  <si>
    <t>281000 - Amortissements des immobilisations corporelles - OHADA</t>
  </si>
  <si>
    <t>Accumulated Depreciation</t>
  </si>
  <si>
    <t>"281200 - Amortissements des brevets, licences, concessions et droits similaires - OHADA"</t>
  </si>
  <si>
    <t>Amortissements des brevets, licences, concessions et droits similaires</t>
  </si>
  <si>
    <t>281000 - Amortissements des immobilisations corporelles - OHADA</t>
  </si>
  <si>
    <t>Accumulated Depreciation</t>
  </si>
  <si>
    <t>"281300 - Amortissements des logiciels et sites internet - OHADA"</t>
  </si>
  <si>
    <t>Amortissements des logiciels et sites internet</t>
  </si>
  <si>
    <t>281000 - Amortissements des immobilisations corporelles - OHADA</t>
  </si>
  <si>
    <t>Accumulated Depreciation</t>
  </si>
  <si>
    <t>"281400 - Amortissements des marques - OHADA"</t>
  </si>
  <si>
    <t>Amortissements des marques</t>
  </si>
  <si>
    <t>281000 - Amortissements des immobilisations corporelles - OHADA</t>
  </si>
  <si>
    <t>Accumulated Depreciation</t>
  </si>
  <si>
    <t>"281500 - Amortissements du fonds commercial - OHADA"</t>
  </si>
  <si>
    <t>Amortissements du fonds commercial</t>
  </si>
  <si>
    <t>281000 - Amortissements des immobilisations corporelles - OHADA</t>
  </si>
  <si>
    <t>Accumulated Depreciation</t>
  </si>
  <si>
    <t>"281600 - Amortissements du droit au bail - OHADA"</t>
  </si>
  <si>
    <t>Amortissements du droit au bail</t>
  </si>
  <si>
    <t>281000 - Amortissements des immobilisations corporelles - OHADA</t>
  </si>
  <si>
    <t>Accumulated Depreciation</t>
  </si>
  <si>
    <t>"281700 - Amortissements des investissements de création - OHADA"</t>
  </si>
  <si>
    <t>Amortissements des investissements de création</t>
  </si>
  <si>
    <t>281000 - Amortissements des immobilisations corporelles - OHADA</t>
  </si>
  <si>
    <t>Accumulated Depreciation</t>
  </si>
  <si>
    <t>"281800 - Amortissements des autres droits et valeurs incorporels - OHADA"</t>
  </si>
  <si>
    <t>Amortissements des autres droits et valeurs incorporels</t>
  </si>
  <si>
    <t>281000 - Amortissements des immobilisations corporelles - OHADA</t>
  </si>
  <si>
    <t>Accumulated Depreciation</t>
  </si>
  <si>
    <t>"282000 - Amortissements des terrains - OHADA"</t>
  </si>
  <si>
    <t>Amortissements des terrains</t>
  </si>
  <si>
    <t>28 - Amortissements - OHADA</t>
  </si>
  <si>
    <t>"282400 - Amortissements des travaux de mise en valeur des terrains - OHADA"</t>
  </si>
  <si>
    <t>Amortissements des travaux de mise en valeur des terrains</t>
  </si>
  <si>
    <t>282000 - Amortissements des terrains - OHADA</t>
  </si>
  <si>
    <t>"283000 - Amortissements des bâtiments, installations techniques et agencements - OHADA"</t>
  </si>
  <si>
    <t>Amortissements des bâtiments, installations techniques et agencements</t>
  </si>
  <si>
    <t>28 - Amortissements - OHADA</t>
  </si>
  <si>
    <t>"283100 - Amortissements des bâtiments industriels, agricoles, administratifs et commerciaux sur sol propre - OHADA"</t>
  </si>
  <si>
    <t>Amortissements des bâtiments industriels, agricoles, administratifs et commerciaux sur sol propre</t>
  </si>
  <si>
    <t>283000 - Amortissements des bâtiments, installations techniques et agencements - OHADA</t>
  </si>
  <si>
    <t>"283200 - Amortissements des bâtiments industriels, agricoles, administratifs et commerciaux sur sol d’autrui - OHADA"</t>
  </si>
  <si>
    <t>Amortissements des bâtiments industriels, agricoles, administratifs et commerciaux sur sol d’autrui</t>
  </si>
  <si>
    <t>283000 - Amortissements des bâtiments, installations techniques et agencements - OHADA</t>
  </si>
  <si>
    <t>"283300 - Amortissements des ouvrages d’infrastructure - OHADA"</t>
  </si>
  <si>
    <t>Amortissements des ouvrages d’infrastructure</t>
  </si>
  <si>
    <t>283000 - Amortissements des bâtiments, installations techniques et agencements - OHADA</t>
  </si>
  <si>
    <t>"283400 - Amortissements des aménagements, agencements et installations techniques - OHADA"</t>
  </si>
  <si>
    <t>Amortissements des aménagements, agencements et installations techniques</t>
  </si>
  <si>
    <t>283000 - Amortissements des bâtiments, installations techniques et agencements - OHADA</t>
  </si>
  <si>
    <t>"283500 - Amortissements des aménagements de bureaux - OHADA"</t>
  </si>
  <si>
    <t>Amortissements des aménagements de bureaux</t>
  </si>
  <si>
    <t>283000 - Amortissements des bâtiments, installations techniques et agencements - OHADA</t>
  </si>
  <si>
    <t>"283700 - Amortissements des bâtiments industriels, agricoles et commerciaux mis en concession - OHADA"</t>
  </si>
  <si>
    <t>Amortissements des bâtiments industriels, agricoles et commerciaux mis en concession</t>
  </si>
  <si>
    <t>283000 - Amortissements des bâtiments, installations techniques et agencements - OHADA</t>
  </si>
  <si>
    <t>"283800 - Amortissements des autres installations et agencements - OHADA"</t>
  </si>
  <si>
    <t>Amortissements des autres installations et agencements</t>
  </si>
  <si>
    <t>283000 - Amortissements des bâtiments, installations techniques et agencements - OHADA</t>
  </si>
  <si>
    <t>"284000 - Amortissements du matériel - OHADA"</t>
  </si>
  <si>
    <t>Amortissements du matériel</t>
  </si>
  <si>
    <t>28 - Amortissements - OHADA</t>
  </si>
  <si>
    <t>"284100 - Amortissements du matériel et outillage industriel et commercial - OHADA"</t>
  </si>
  <si>
    <t>Amortissements du matériel et outillage industriel et commercial</t>
  </si>
  <si>
    <t>284000 - Amortissements du matériel - OHADA</t>
  </si>
  <si>
    <t>"284200 - Amortissements du matériel et outillage agricole - OHADA"</t>
  </si>
  <si>
    <t>Amortissements du matériel et outillage agricole</t>
  </si>
  <si>
    <t>284000 - Amortissements du matériel - OHADA</t>
  </si>
  <si>
    <t>"284300 - Amortissements du matériel d’emballage récupérable et identifiable - OHADA"</t>
  </si>
  <si>
    <t>Amortissements du matériel d’emballage récupérable et identifiable</t>
  </si>
  <si>
    <t>284000 - Amortissements du matériel - OHADA</t>
  </si>
  <si>
    <t>"284400 - Amortissements du matériel et mobilier - OHADA"</t>
  </si>
  <si>
    <t>Amortissements du matériel et mobilier</t>
  </si>
  <si>
    <t>284000 - Amortissements du matériel - OHADA</t>
  </si>
  <si>
    <t>"284500 - Amortissements du matériel de transport - OHADA"</t>
  </si>
  <si>
    <t>Amortissements du matériel de transport</t>
  </si>
  <si>
    <t>284000 - Amortissements du matériel - OHADA</t>
  </si>
  <si>
    <t>"284600 - Amortissements des actifs biologiques - OHADA"</t>
  </si>
  <si>
    <t>Amortissements des actifs biologiques</t>
  </si>
  <si>
    <t>284000 - Amortissements du matériel - OHADA</t>
  </si>
  <si>
    <t>"284700 - Amortissements des agencements et aménagements du matériel et des actifs biologiques - OHADA"</t>
  </si>
  <si>
    <t>Amortissements des agencements et aménagements du matériel et des actifs biologiques</t>
  </si>
  <si>
    <t>284000 - Amortissements du matériel - OHADA</t>
  </si>
  <si>
    <t>"284800 - Amortissements des autres matériels - OHADA"</t>
  </si>
  <si>
    <t>Amortissements des autres matériels</t>
  </si>
  <si>
    <t>284000 - Amortissements du matériel - OHADA</t>
  </si>
  <si>
    <t>"29 - Dépréciations des immobilisations - OHADA"</t>
  </si>
  <si>
    <t>Dépréciations des immobilisations</t>
  </si>
  <si>
    <t>2 - Comptes d’actif immobilisé - OHADA</t>
  </si>
  <si>
    <t>"291000 - Dépréciations des immobilisations incorporelles - OHADA"</t>
  </si>
  <si>
    <t>Dépréciations des immobilisations incorporelles</t>
  </si>
  <si>
    <t>29 - Dépréciations des immobilisations - OHADA</t>
  </si>
  <si>
    <t>"291100 - Dépréciations des frais de développement - OHADA"</t>
  </si>
  <si>
    <t>Dépréciations des frais de développement</t>
  </si>
  <si>
    <t>291000 - Dépréciations des immobilisations incorporelles - OHADA</t>
  </si>
  <si>
    <t>"291200 - Dépréciations des brevets, licences, concessions et droits similaires - OHADA"</t>
  </si>
  <si>
    <t>Dépréciations des brevets, licences, concessions et droits similaires</t>
  </si>
  <si>
    <t>291000 - Dépréciations des immobilisations incorporelles - OHADA</t>
  </si>
  <si>
    <t>"291300 - Dépréciations des logiciels et sites internet - OHADA"</t>
  </si>
  <si>
    <t>Dépréciations des logiciels et sites internet</t>
  </si>
  <si>
    <t>291000 - Dépréciations des immobilisations incorporelles - OHADA</t>
  </si>
  <si>
    <t>"291400 - Dépréciations des marques - OHADA"</t>
  </si>
  <si>
    <t>Dépréciations des marques</t>
  </si>
  <si>
    <t>291000 - Dépréciations des immobilisations incorporelles - OHADA</t>
  </si>
  <si>
    <t>"291500 - Dépréciations du fonds commercial - OHADA"</t>
  </si>
  <si>
    <t>Dépréciations du fonds commercial</t>
  </si>
  <si>
    <t>291000 - Dépréciations des immobilisations incorporelles - OHADA</t>
  </si>
  <si>
    <t>"291600 - Dépréciations du droit au bail - OHADA"</t>
  </si>
  <si>
    <t>Dépréciations du droit au bail</t>
  </si>
  <si>
    <t>291000 - Dépréciations des immobilisations incorporelles - OHADA</t>
  </si>
  <si>
    <t>"291700 - Dépréciations des investissements de création - OHADA"</t>
  </si>
  <si>
    <t>Dépréciations des investissements de création</t>
  </si>
  <si>
    <t>291000 - Dépréciations des immobilisations incorporelles - OHADA</t>
  </si>
  <si>
    <t>"291800 - Dépréciations des autres droits et valeurs incorporels - OHADA"</t>
  </si>
  <si>
    <t>Dépréciations des autres droits et valeurs incorporels</t>
  </si>
  <si>
    <t>291000 - Dépréciations des immobilisations incorporelles - OHADA</t>
  </si>
  <si>
    <t>"291900 - Dépréciations des immobilisations incorporelles en cours - OHADA"</t>
  </si>
  <si>
    <t>Dépréciations des immobilisations incorporelles en cours</t>
  </si>
  <si>
    <t>291000 - Dépréciations des immobilisations incorporelles - OHADA</t>
  </si>
  <si>
    <t>"292000 - Dépréciations des terrains - OHADA"</t>
  </si>
  <si>
    <t>Dépréciations des terrains</t>
  </si>
  <si>
    <t>29 - Dépréciations des immobilisations - OHADA</t>
  </si>
  <si>
    <t>"292100 - Dépréciations des terrains agricoles et forestiers - OHADA"</t>
  </si>
  <si>
    <t>Dépréciations des terrains agricoles et forestiers</t>
  </si>
  <si>
    <t>292000 - Dépréciations des terrains - OHADA</t>
  </si>
  <si>
    <t>"292200 - Dépréciations des terrains nus - OHADA"</t>
  </si>
  <si>
    <t>Dépréciations des terrains nus</t>
  </si>
  <si>
    <t>292000 - Dépréciations des terrains - OHADA</t>
  </si>
  <si>
    <t>"292300 - Dépréciations des terrains bâtis - OHADA"</t>
  </si>
  <si>
    <t>Dépréciations des terrains bâtis</t>
  </si>
  <si>
    <t>292000 - Dépréciations des terrains - OHADA</t>
  </si>
  <si>
    <t>"292400 - Dépréciations des travaux de mise en valeur des terrains - OHADA"</t>
  </si>
  <si>
    <t>Dépréciations des travaux de mise en valeur des terrains</t>
  </si>
  <si>
    <t>292000 - Dépréciations des terrains - OHADA</t>
  </si>
  <si>
    <t>"292500 - Dépréciations des terrains de gisement - OHADA"</t>
  </si>
  <si>
    <t>Dépréciations des terrains de gisement</t>
  </si>
  <si>
    <t>292000 - Dépréciations des terrains - OHADA</t>
  </si>
  <si>
    <t>"292600 - Dépréciations des terrains aménagés - OHADA"</t>
  </si>
  <si>
    <t>Dépréciations des terrains aménagés</t>
  </si>
  <si>
    <t>292000 - Dépréciations des terrains - OHADA</t>
  </si>
  <si>
    <t>"292700 - Dépréciations des terrains mis en concession - OHADA"</t>
  </si>
  <si>
    <t>Dépréciations des terrains mis en concession</t>
  </si>
  <si>
    <t>292000 - Dépréciations des terrains - OHADA</t>
  </si>
  <si>
    <t>"292800 - Dépréciations des autres terrains - OHADA"</t>
  </si>
  <si>
    <t>Dépréciations des autres terrains</t>
  </si>
  <si>
    <t>292000 - Dépréciations des terrains - OHADA</t>
  </si>
  <si>
    <t>"292900 - Dépréciations des aménagements de terrains en cours - OHADA"</t>
  </si>
  <si>
    <t>Dépréciations des aménagements de terrains en cours</t>
  </si>
  <si>
    <t>292000 - Dépréciations des terrains - OHADA</t>
  </si>
  <si>
    <t>"293000 - Dépréciations des bâtiments, installations techniques et agencements - OHADA"</t>
  </si>
  <si>
    <t>Dépréciations des bâtiments, installations techniques et agencements</t>
  </si>
  <si>
    <t>29 - Dépréciations des immobilisations - OHADA</t>
  </si>
  <si>
    <t>"293100 - Dépréciations des bâtiments industriels, agricoles, administratifs et commerciaux sur sol propre - OHADA"</t>
  </si>
  <si>
    <t>Dépréciations des bâtiments industriels, agricoles, administratifs et commerciaux sur sol propre</t>
  </si>
  <si>
    <t>293000 - Dépréciations des bâtiments, installations techniques et agencements - OHADA</t>
  </si>
  <si>
    <t>"293200 - Dépréciations des bâtiments industriels, agricoles, administratifs et commerciaux sur sol d’autrui - OHADA"</t>
  </si>
  <si>
    <t>Dépréciations des bâtiments industriels, agricoles, administratifs et commerciaux sur sol d’autrui</t>
  </si>
  <si>
    <t>293000 - Dépréciations des bâtiments, installations techniques et agencements - OHADA</t>
  </si>
  <si>
    <t>"293300 - Dépréciations des ouvrages d’infrastructures - OHADA"</t>
  </si>
  <si>
    <t>Dépréciations des ouvrages d’infrastructures</t>
  </si>
  <si>
    <t>293000 - Dépréciations des bâtiments, installations techniques et agencements - OHADA</t>
  </si>
  <si>
    <t>"293400 - Dépréciations des aménagements, agencements et installations techniques - OHADA"</t>
  </si>
  <si>
    <t>Dépréciations des aménagements, agencements et installations techniques</t>
  </si>
  <si>
    <t>293000 - Dépréciations des bâtiments, installations techniques et agencements - OHADA</t>
  </si>
  <si>
    <t>"293500 - Dépréciations des aménagements de bureaux - OHADA"</t>
  </si>
  <si>
    <t>Dépréciations des aménagements de bureaux</t>
  </si>
  <si>
    <t>293000 - Dépréciations des bâtiments, installations techniques et agencements - OHADA</t>
  </si>
  <si>
    <t>"293700 - Dépréciations des bâtiments industriels, agricoles et commerciaux mis en concession - OHADA"</t>
  </si>
  <si>
    <t>Dépréciations des bâtiments industriels, agricoles et commerciaux mis en concession</t>
  </si>
  <si>
    <t>293000 - Dépréciations des bâtiments, installations techniques et agencements - OHADA</t>
  </si>
  <si>
    <t>"293800 - Dépréciations des autres installations et agencements - OHADA"</t>
  </si>
  <si>
    <t>Dépréciations des autres installations et agencements</t>
  </si>
  <si>
    <t>293000 - Dépréciations des bâtiments, installations techniques et agencements - OHADA</t>
  </si>
  <si>
    <t>"293900 - Dépréciations des bâtiments et installations en cours - OHADA"</t>
  </si>
  <si>
    <t>Dépréciations des bâtiments et installations en cours</t>
  </si>
  <si>
    <t>293000 - Dépréciations des bâtiments, installations techniques et agencements - OHADA</t>
  </si>
  <si>
    <t>"294000 - Dépréciations de matériel, du mobilier et de l’actif biologique - OHADA"</t>
  </si>
  <si>
    <t>Dépréciations de matériel, du mobilier et de l’actif biologique</t>
  </si>
  <si>
    <t>29 - Dépréciations des immobilisations - OHADA</t>
  </si>
  <si>
    <t>"294100 - Dépréciations du matériel et outillage industriel et commercial - OHADA"</t>
  </si>
  <si>
    <t>Dépréciations du matériel et outillage industriel et commercial</t>
  </si>
  <si>
    <t>294000 - Dépréciations de matériel, du mobilier et de l’actif biologique - OHADA</t>
  </si>
  <si>
    <t>"294200 - Dépréciations du matériel et outillage agricole - OHADA"</t>
  </si>
  <si>
    <t>Dépréciations du matériel et outillage agricole</t>
  </si>
  <si>
    <t>294000 - Dépréciations de matériel, du mobilier et de l’actif biologique - OHADA</t>
  </si>
  <si>
    <t>"294300 - Dépréciations du matériel d’emballage récupérable et identifiable - OHADA"</t>
  </si>
  <si>
    <t>Dépréciations du matériel d’emballage récupérable et identifiable</t>
  </si>
  <si>
    <t>294000 - Dépréciations de matériel, du mobilier et de l’actif biologique - OHADA</t>
  </si>
  <si>
    <t>"294400 - Dépréciations du matériel et mobilier - OHADA"</t>
  </si>
  <si>
    <t>Dépréciations du matériel et mobilier</t>
  </si>
  <si>
    <t>294000 - Dépréciations de matériel, du mobilier et de l’actif biologique - OHADA</t>
  </si>
  <si>
    <t>"294500 - Dépréciations du matériel de transport - OHADA"</t>
  </si>
  <si>
    <t>Dépréciations du matériel de transport</t>
  </si>
  <si>
    <t>294000 - Dépréciations de matériel, du mobilier et de l’actif biologique - OHADA</t>
  </si>
  <si>
    <t>"294600 - Dépréciations des actifs biologiques - OHADA"</t>
  </si>
  <si>
    <t>Dépréciations des actifs biologiques</t>
  </si>
  <si>
    <t>294000 - Dépréciations de matériel, du mobilier et de l’actif biologique - OHADA</t>
  </si>
  <si>
    <t>"294700 - Dépréciations des agencements et aménagements du matériel et des actifs biologiques - OHADA"</t>
  </si>
  <si>
    <t>Dépréciations des agencements et aménagements du matériel et des actifs biologiques</t>
  </si>
  <si>
    <t>294000 - Dépréciations de matériel, du mobilier et de l’actif biologique - OHADA</t>
  </si>
  <si>
    <t>"294800 - Dépréciations des autres matériels - OHADA"</t>
  </si>
  <si>
    <t>Dépréciations des autres matériels</t>
  </si>
  <si>
    <t>294000 - Dépréciations de matériel, du mobilier et de l’actif biologique - OHADA</t>
  </si>
  <si>
    <t>"294900 - Dépréciations de matériel en cours - OHADA"</t>
  </si>
  <si>
    <t>Dépréciations de matériel en cours</t>
  </si>
  <si>
    <t>294000 - Dépréciations de matériel, du mobilier et de l’actif biologique - OHADA</t>
  </si>
  <si>
    <t>"295000 - Dépréciations des avances et acomptes versés sur immobilisations - OHADA"</t>
  </si>
  <si>
    <t>Dépréciations des avances et acomptes versés sur immobilisations</t>
  </si>
  <si>
    <t>29 - Dépréciations des immobilisations - OHADA</t>
  </si>
  <si>
    <t>"295100 - Dépréciations des avances et acomptes versés sur immobilisations incorporelles - OHADA"</t>
  </si>
  <si>
    <t>Dépréciations des avances et acomptes versés sur immobilisations incorporelles</t>
  </si>
  <si>
    <t>295000 - Dépréciations des avances et acomptes versés sur immobilisations - OHADA</t>
  </si>
  <si>
    <t>"295200 - Dépréciations des avances et acomptes versés sur immobilisations corporelles - OHADA"</t>
  </si>
  <si>
    <t>Dépréciations des avances et acomptes versés sur immobilisations corporelles</t>
  </si>
  <si>
    <t>295000 - Dépréciations des avances et acomptes versés sur immobilisations - OHADA</t>
  </si>
  <si>
    <t>"296000 - Dépréciations des titres de participation - OHADA"</t>
  </si>
  <si>
    <t>Dépréciations des titres de participation</t>
  </si>
  <si>
    <t>29 - Dépréciations des immobilisations - OHADA</t>
  </si>
  <si>
    <t>"296100 - Dépréciations des titres de participation dans des sociétés sous contrôle exclusif - OHADA"</t>
  </si>
  <si>
    <t>Dépréciations des titres de participation dans des sociétés sous contrôle exclusif</t>
  </si>
  <si>
    <t>296000 - Dépréciations des titres de participation - OHADA</t>
  </si>
  <si>
    <t>"296200 - Dépréciations des titres de participation dans les sociétés sous contrôle conjoint - OHADA"</t>
  </si>
  <si>
    <t>Dépréciations des titres de participation dans les sociétés sous contrôle conjoint</t>
  </si>
  <si>
    <t>296000 - Dépréciations des titres de participation - OHADA</t>
  </si>
  <si>
    <t>"296300 - Dépréciations des titres de participation dans les sociétés conférant une influence notable - OHADA"</t>
  </si>
  <si>
    <t>Dépréciations des titres de participation dans les sociétés conférant une influence notable</t>
  </si>
  <si>
    <t>296000 - Dépréciations des titres de participation - OHADA</t>
  </si>
  <si>
    <t>"296500 - Dépréciations des participations dans des organismes professionnels - OHADA"</t>
  </si>
  <si>
    <t>Dépréciations des participations dans des organismes professionnels</t>
  </si>
  <si>
    <t>296000 - Dépréciations des titres de participation - OHADA</t>
  </si>
  <si>
    <t>"296600 - Dépréciations des parts dans des GIE - OHADA"</t>
  </si>
  <si>
    <t>Dépréciations des parts dans des GIE</t>
  </si>
  <si>
    <t>296000 - Dépréciations des titres de participation - OHADA</t>
  </si>
  <si>
    <t>"296800 - Dépréciations des autres titres de participation - OHADA"</t>
  </si>
  <si>
    <t>Dépréciations des autres titres de participation</t>
  </si>
  <si>
    <t>296000 - Dépréciations des titres de participation - OHADA</t>
  </si>
  <si>
    <t>"297000 - Dépréciations des autres immobilisations financières - OHADA"</t>
  </si>
  <si>
    <t>Dépréciations des autres immobilisations financières</t>
  </si>
  <si>
    <t>29 - Dépréciations des immobilisations - OHADA</t>
  </si>
  <si>
    <t>"297100 - Dépréciations des prêts et créances - OHADA"</t>
  </si>
  <si>
    <t>Dépréciations des prêts et créances</t>
  </si>
  <si>
    <t>297000 - Dépréciations des autres immobilisations financières - OHADA</t>
  </si>
  <si>
    <t>"297200 - Dépréciations des prêts au personnel - OHADA"</t>
  </si>
  <si>
    <t>Dépréciations des prêts au personnel</t>
  </si>
  <si>
    <t>297000 - Dépréciations des autres immobilisations financières - OHADA</t>
  </si>
  <si>
    <t>"297300 - Dépréciations des créances sur l’État - OHADA"</t>
  </si>
  <si>
    <t>Dépréciations des créances sur l’État</t>
  </si>
  <si>
    <t>297000 - Dépréciations des autres immobilisations financières - OHADA</t>
  </si>
  <si>
    <t>"297400 - Dépréciations des titres immobilisés - OHADA"</t>
  </si>
  <si>
    <t>Dépréciations des titres immobilisés</t>
  </si>
  <si>
    <t>297000 - Dépréciations des autres immobilisations financières - OHADA</t>
  </si>
  <si>
    <t>"297500 - Dépréciations des dépôts et cautionnements versés - OHADA"</t>
  </si>
  <si>
    <t>Dépréciations des dépôts et cautionnements versés</t>
  </si>
  <si>
    <t>297000 - Dépréciations des autres immobilisations financières - OHADA</t>
  </si>
  <si>
    <t>"297700 - Dépréciations des créances rattachées à des participations et avances à des GIE - OHADA"</t>
  </si>
  <si>
    <t>Dépréciations des créances rattachées à des participations et avances à des GIE</t>
  </si>
  <si>
    <t>297000 - Dépréciations des autres immobilisations financières - OHADA</t>
  </si>
  <si>
    <t>"297800 - Dépréciations des créances financières diverses - OHADA"</t>
  </si>
  <si>
    <t>Dépréciations des créances financières diverses</t>
  </si>
  <si>
    <t>297000 - Dépréciations des autres immobilisations financières - OHADA</t>
  </si>
  <si>
    <t>"3 - Comptes de Stocks - OHADA"</t>
  </si>
  <si>
    <t>Comptes de Stocks</t>
  </si>
  <si>
    <t>"31 - Marchandises - OHADA"</t>
  </si>
  <si>
    <t>Marchandises</t>
  </si>
  <si>
    <t>3 - Comptes de Stocks - OHADA</t>
  </si>
  <si>
    <t>"311000 - Marchandises A - OHADA"</t>
  </si>
  <si>
    <t>Marchandises A</t>
  </si>
  <si>
    <t>31 - Marchandises - OHADA</t>
  </si>
  <si>
    <t>"311100 - Marchandises A1 - OHADA"</t>
  </si>
  <si>
    <t>Marchandises A1</t>
  </si>
  <si>
    <t>311000 - Marchandises A - OHADA</t>
  </si>
  <si>
    <t>"311200 - Marchandises A2 - OHADA"</t>
  </si>
  <si>
    <t>Marchandises A2</t>
  </si>
  <si>
    <t>311000 - Marchandises A - OHADA</t>
  </si>
  <si>
    <t>"312000 - Marchandises B - OHADA"</t>
  </si>
  <si>
    <t>Marchandises B</t>
  </si>
  <si>
    <t>31 - Marchandises - OHADA</t>
  </si>
  <si>
    <t>"312100 - Marchandises B1 - OHADA"</t>
  </si>
  <si>
    <t>Marchandises B1</t>
  </si>
  <si>
    <t>312000 - Marchandises B - OHADA</t>
  </si>
  <si>
    <t>"312200 - Marchandises B2 - OHADA"</t>
  </si>
  <si>
    <t>Marchandises B2</t>
  </si>
  <si>
    <t>312000 - Marchandises B - OHADA</t>
  </si>
  <si>
    <t>"313000 - Actifs biologiques - OHADA"</t>
  </si>
  <si>
    <t>Actifs biologiques</t>
  </si>
  <si>
    <t>31 - Marchandises - OHADA</t>
  </si>
  <si>
    <t>"313100 - Animaux - OHADA"</t>
  </si>
  <si>
    <t>Animaux</t>
  </si>
  <si>
    <t>313000 - Actifs biologiques - OHADA</t>
  </si>
  <si>
    <t>"313200 - Végétaux - OHADA"</t>
  </si>
  <si>
    <t>Végétaux</t>
  </si>
  <si>
    <t>313000 - Actifs biologiques - OHADA</t>
  </si>
  <si>
    <t>"318000 - Marchandises hors activités ordinaires (HAO) - OHADA"</t>
  </si>
  <si>
    <t>Marchandises hors activités ordinaires (HAO)</t>
  </si>
  <si>
    <t>31 - Marchandises - OHADA</t>
  </si>
  <si>
    <t>"32 - Matières premières et fournitures liées - OHADA"</t>
  </si>
  <si>
    <t>Matières premières et fournitures liées</t>
  </si>
  <si>
    <t>3 - Comptes de Stocks - OHADA</t>
  </si>
  <si>
    <t>"321000 - Matières A - OHADA"</t>
  </si>
  <si>
    <t>Matières A</t>
  </si>
  <si>
    <t>32 - Matières premières et fournitures liées - OHADA</t>
  </si>
  <si>
    <t>"322000 - Matières B - OHADA"</t>
  </si>
  <si>
    <t>Matières B</t>
  </si>
  <si>
    <t>32 - Matières premières et fournitures liées - OHADA</t>
  </si>
  <si>
    <t>"323000 - Fournitures (A, B) - OHADA"</t>
  </si>
  <si>
    <t>Fournitures (A, B)</t>
  </si>
  <si>
    <t>32 - Matières premières et fournitures liées - OHADA</t>
  </si>
  <si>
    <t>"33 - Autres approvisionnements - OHADA"</t>
  </si>
  <si>
    <t>Autres approvisionnements</t>
  </si>
  <si>
    <t>3 - Comptes de Stocks - OHADA</t>
  </si>
  <si>
    <t>"331000 - Matières consommables - OHADA"</t>
  </si>
  <si>
    <t>Matières consommables</t>
  </si>
  <si>
    <t>33 - Autres approvisionnements - OHADA</t>
  </si>
  <si>
    <t>"332000 - Fournitures d’atelier et d’usine - OHADA"</t>
  </si>
  <si>
    <t>Fournitures d’atelier et d’usine</t>
  </si>
  <si>
    <t>33 - Autres approvisionnements - OHADA</t>
  </si>
  <si>
    <t>"333000 - Fournitures de magasin - OHADA"</t>
  </si>
  <si>
    <t>Fournitures de magasin</t>
  </si>
  <si>
    <t>33 - Autres approvisionnements - OHADA</t>
  </si>
  <si>
    <t>"334000 - Fournitures de bureau - OHADA"</t>
  </si>
  <si>
    <t>Fournitures de bureau</t>
  </si>
  <si>
    <t>33 - Autres approvisionnements - OHADA</t>
  </si>
  <si>
    <t>"335000 - Emballages - OHADA"</t>
  </si>
  <si>
    <t>Emballages</t>
  </si>
  <si>
    <t>33 - Autres approvisionnements - OHADA</t>
  </si>
  <si>
    <t>"335100 - Emballages perdus - OHADA"</t>
  </si>
  <si>
    <t>Emballages perdus</t>
  </si>
  <si>
    <t>335000 - Emballages - OHADA</t>
  </si>
  <si>
    <t>"335200 - Emballages récupérables non identifiables - OHADA"</t>
  </si>
  <si>
    <t>Emballages récupérables non identifiables</t>
  </si>
  <si>
    <t>335000 - Emballages - OHADA</t>
  </si>
  <si>
    <t>"335300 - Emballages à usage mixte - OHADA"</t>
  </si>
  <si>
    <t>Emballages à usage mixte</t>
  </si>
  <si>
    <t>335000 - Emballages - OHADA</t>
  </si>
  <si>
    <t>"335800 - Autres emballages - OHADA"</t>
  </si>
  <si>
    <t>Autres emballages</t>
  </si>
  <si>
    <t>335000 - Emballages - OHADA</t>
  </si>
  <si>
    <t>"338000 - Autres matières - OHADA"</t>
  </si>
  <si>
    <t>Autres matières</t>
  </si>
  <si>
    <t>33 - Autres approvisionnements - OHADA</t>
  </si>
  <si>
    <t>"34 - Produits en cours - OHADA"</t>
  </si>
  <si>
    <t>Produits en cours</t>
  </si>
  <si>
    <t>3 - Comptes de Stocks - OHADA</t>
  </si>
  <si>
    <t>"341000 - Produits en cours - OHADA"</t>
  </si>
  <si>
    <t>Produits en cours</t>
  </si>
  <si>
    <t>34 - Produits en cours - OHADA</t>
  </si>
  <si>
    <t>"341100 - Produits en cours P1 - OHADA"</t>
  </si>
  <si>
    <t>Produits en cours P1</t>
  </si>
  <si>
    <t>341000 - Produits en cours - OHADA</t>
  </si>
  <si>
    <t>"341200 - Produits en cours P2 - OHADA"</t>
  </si>
  <si>
    <t>Produits en cours P2</t>
  </si>
  <si>
    <t>341000 - Produits en cours - OHADA</t>
  </si>
  <si>
    <t>"342000 - Travaux en cours - OHADA"</t>
  </si>
  <si>
    <t>Travaux en cours</t>
  </si>
  <si>
    <t>34 - Produits en cours - OHADA</t>
  </si>
  <si>
    <t>"342100 - Travaux en cours T1 - OHADA"</t>
  </si>
  <si>
    <t>Travaux en cours T1</t>
  </si>
  <si>
    <t>342000 - Travaux en cours - OHADA</t>
  </si>
  <si>
    <t>"342200 - Travaux en cours T2 - OHADA"</t>
  </si>
  <si>
    <t>Travaux en cours T2</t>
  </si>
  <si>
    <t>342000 - Travaux en cours - OHADA</t>
  </si>
  <si>
    <t>"343000 - Produits intermédiaires en cours - OHADA"</t>
  </si>
  <si>
    <t>Produits intermédiaires en cours</t>
  </si>
  <si>
    <t>34 - Produits en cours - OHADA</t>
  </si>
  <si>
    <t>"343100 - Produits intermédiaires A - OHADA"</t>
  </si>
  <si>
    <t>Produits intermédiaires A</t>
  </si>
  <si>
    <t>343000 - Produits intermédiaires en cours - OHADA</t>
  </si>
  <si>
    <t>"343200 - Produits intermédiaires B - OHADA"</t>
  </si>
  <si>
    <t>Produits intermédiaires B</t>
  </si>
  <si>
    <t>343000 - Produits intermédiaires en cours - OHADA</t>
  </si>
  <si>
    <t>"344000 - Produits résiduels en cours - OHADA"</t>
  </si>
  <si>
    <t>Produits résiduels en cours</t>
  </si>
  <si>
    <t>34 - Produits en cours - OHADA</t>
  </si>
  <si>
    <t>"344100 - Produits résiduels A - OHADA"</t>
  </si>
  <si>
    <t>Produits résiduels A</t>
  </si>
  <si>
    <t>344000 - Produits résiduels en cours - OHADA</t>
  </si>
  <si>
    <t>"344200 - Produits résiduels B - OHADA"</t>
  </si>
  <si>
    <t>Produits résiduels B</t>
  </si>
  <si>
    <t>344000 - Produits résiduels en cours - OHADA</t>
  </si>
  <si>
    <t>"345000 - Actifs biologiques en cours - OHADA"</t>
  </si>
  <si>
    <t>Actifs biologiques en cours</t>
  </si>
  <si>
    <t>34 - Produits en cours - OHADA</t>
  </si>
  <si>
    <t>"345100 - Animaux - OHADA"</t>
  </si>
  <si>
    <t>Animaux</t>
  </si>
  <si>
    <t>345000 - Actifs biologiques en cours - OHADA</t>
  </si>
  <si>
    <t>"345200 - Végétaux - OHADA"</t>
  </si>
  <si>
    <t>Végétaux</t>
  </si>
  <si>
    <t>345000 - Actifs biologiques en cours - OHADA</t>
  </si>
  <si>
    <t>"35 - Services en cours - OHADA"</t>
  </si>
  <si>
    <t>Services en cours</t>
  </si>
  <si>
    <t>3 - Comptes de Stocks - OHADA</t>
  </si>
  <si>
    <t>"351000 - Études en cours - OHADA"</t>
  </si>
  <si>
    <t>Études en cours</t>
  </si>
  <si>
    <t>35 - Services en cours - OHADA</t>
  </si>
  <si>
    <t>"351100 - Études en cours E1 - OHADA"</t>
  </si>
  <si>
    <t>Études en cours E1</t>
  </si>
  <si>
    <t>351000 - Études en cours - OHADA</t>
  </si>
  <si>
    <t>"351200 - Études en cours E2 - OHADA"</t>
  </si>
  <si>
    <t>Études en cours E2</t>
  </si>
  <si>
    <t>351000 - Études en cours - OHADA</t>
  </si>
  <si>
    <t>"352000 - Prestations de services en cours - OHADA"</t>
  </si>
  <si>
    <t>Prestations de services en cours</t>
  </si>
  <si>
    <t>35 - Services en cours - OHADA</t>
  </si>
  <si>
    <t>"352100 - Prestations de services S1 - OHADA"</t>
  </si>
  <si>
    <t>Prestations de services S1</t>
  </si>
  <si>
    <t>352000 - Prestations de services en cours - OHADA</t>
  </si>
  <si>
    <t>"352200 - Prestations de services S2 - OHADA"</t>
  </si>
  <si>
    <t>Prestations de services S2</t>
  </si>
  <si>
    <t>352000 - Prestations de services en cours - OHADA</t>
  </si>
  <si>
    <t>"36 - Produits finis - OHADA"</t>
  </si>
  <si>
    <t>Produits finis</t>
  </si>
  <si>
    <t>3 - Comptes de Stocks - OHADA</t>
  </si>
  <si>
    <t>"361000 - Produits finis A - OHADA"</t>
  </si>
  <si>
    <t>Produits finis A</t>
  </si>
  <si>
    <t>36 - Produits finis - OHADA</t>
  </si>
  <si>
    <t>"362000 - Produits finis B - OHADA"</t>
  </si>
  <si>
    <t>Produits finis B</t>
  </si>
  <si>
    <t>36 - Produits finis - OHADA</t>
  </si>
  <si>
    <t>"363000 - Actifs biologiques - OHADA"</t>
  </si>
  <si>
    <t>Actifs biologiques</t>
  </si>
  <si>
    <t>36 - Produits finis - OHADA</t>
  </si>
  <si>
    <t>"363100 - Animaux - OHADA"</t>
  </si>
  <si>
    <t>Animaux</t>
  </si>
  <si>
    <t>363000 - Actifs biologiques - OHADA</t>
  </si>
  <si>
    <t>"363200 - Végétaux - OHADA"</t>
  </si>
  <si>
    <t>Végétaux</t>
  </si>
  <si>
    <t>363000 - Actifs biologiques - OHADA</t>
  </si>
  <si>
    <t>"363800 - Autres stocks (activités annexes) - OHADA"</t>
  </si>
  <si>
    <t>Autres stocks (activités annexes)</t>
  </si>
  <si>
    <t>363000 - Actifs biologiques - OHADA</t>
  </si>
  <si>
    <t>"37 - Produits intermédiaires et résiduels - OHADA"</t>
  </si>
  <si>
    <t>Produits intermédiaires et résiduels</t>
  </si>
  <si>
    <t>3 - Comptes de Stocks - OHADA</t>
  </si>
  <si>
    <t>"371000 - Produits intermédiaires - OHADA"</t>
  </si>
  <si>
    <t>Produits intermédiaires</t>
  </si>
  <si>
    <t>37 - Produits intermédiaires et résiduels - OHADA</t>
  </si>
  <si>
    <t>"371100 - Produits intermédiaires A - OHADA"</t>
  </si>
  <si>
    <t>Produits intermédiaires A</t>
  </si>
  <si>
    <t>371000 - Produits intermédiaires - OHADA</t>
  </si>
  <si>
    <t>"371200 - Produits intermédiaires B - OHADA"</t>
  </si>
  <si>
    <t>Produits intermédiaires B</t>
  </si>
  <si>
    <t>371000 - Produits intermédiaires - OHADA</t>
  </si>
  <si>
    <t>"372000 - Produits résiduels - OHADA"</t>
  </si>
  <si>
    <t>Produits résiduels</t>
  </si>
  <si>
    <t>37 - Produits intermédiaires et résiduels - OHADA</t>
  </si>
  <si>
    <t>"372100 - Déchets - OHADA"</t>
  </si>
  <si>
    <t>Déchets</t>
  </si>
  <si>
    <t>372000 - Produits résiduels - OHADA</t>
  </si>
  <si>
    <t>"372200 - Rebuts - OHADA"</t>
  </si>
  <si>
    <t>Rebuts</t>
  </si>
  <si>
    <t>372000 - Produits résiduels - OHADA</t>
  </si>
  <si>
    <t>"372300 - Matières de Récupération - OHADA"</t>
  </si>
  <si>
    <t>Matières de Récupération</t>
  </si>
  <si>
    <t>372000 - Produits résiduels - OHADA</t>
  </si>
  <si>
    <t>"373000 - Actifs biologiques - OHADA"</t>
  </si>
  <si>
    <t>Actifs biologiques</t>
  </si>
  <si>
    <t>37 - Produits intermédiaires et résiduels - OHADA</t>
  </si>
  <si>
    <t>"373100 - Animaux - OHADA"</t>
  </si>
  <si>
    <t>Animaux</t>
  </si>
  <si>
    <t>373000 - Actifs biologiques - OHADA</t>
  </si>
  <si>
    <t>"373200 - Végétaux - OHADA"</t>
  </si>
  <si>
    <t>Végétaux</t>
  </si>
  <si>
    <t>373000 - Actifs biologiques - OHADA</t>
  </si>
  <si>
    <t>"373800 - Autres stocks (activités annexes) - OHADA"</t>
  </si>
  <si>
    <t>Autres stocks (activités annexes)</t>
  </si>
  <si>
    <t>373000 - Actifs biologiques - OHADA</t>
  </si>
  <si>
    <t>"38 - Stocks en cours de route, en consignation ou en dépôt - OHADA"</t>
  </si>
  <si>
    <t>Stocks en cours de route, en consignation ou en dépôt</t>
  </si>
  <si>
    <t>3 - Comptes de Stocks - OHADA</t>
  </si>
  <si>
    <t>Stock</t>
  </si>
  <si>
    <t>"381000 - Marchandises en cours de route - OHADA"</t>
  </si>
  <si>
    <t>Marchandises en cours de route</t>
  </si>
  <si>
    <t>38 - Stocks en cours de route, en consignation ou en dépôt - OHADA</t>
  </si>
  <si>
    <t>"382000 - Matières premières et fournitures liées en cours de route - OHADA"</t>
  </si>
  <si>
    <t>Matières premières et fournitures liées en cours de route</t>
  </si>
  <si>
    <t>38 - Stocks en cours de route, en consignation ou en dépôt - OHADA</t>
  </si>
  <si>
    <t>"383000 - Autres approvisionnements en cours de route - OHADA"</t>
  </si>
  <si>
    <t>Autres approvisionnements en cours de route</t>
  </si>
  <si>
    <t>38 - Stocks en cours de route, en consignation ou en dépôt - OHADA</t>
  </si>
  <si>
    <t>"386000 - Produits finis en cours de route - OHADA"</t>
  </si>
  <si>
    <t>Produits finis en cours de route</t>
  </si>
  <si>
    <t>38 - Stocks en cours de route, en consignation ou en dépôt - OHADA</t>
  </si>
  <si>
    <t>"387000 - Stock en consignation ou en dépôt - OHADA"</t>
  </si>
  <si>
    <t>Stock en consignation ou en dépôt</t>
  </si>
  <si>
    <t>38 - Stocks en cours de route, en consignation ou en dépôt - OHADA</t>
  </si>
  <si>
    <t>"387100 - Stock en consignation - OHADA"</t>
  </si>
  <si>
    <t>Stock en consignation</t>
  </si>
  <si>
    <t>387000 - Stock en consignation ou en dépôt - OHADA</t>
  </si>
  <si>
    <t>"387200 - Stock en dépôt - OHADA"</t>
  </si>
  <si>
    <t>Stock en dépôt</t>
  </si>
  <si>
    <t>387000 - Stock en consignation ou en dépôt - OHADA</t>
  </si>
  <si>
    <t>"388000 - Stock provenant d’immobilisations mises hors service ou au rebut - OHADA"</t>
  </si>
  <si>
    <t>Stock provenant d’immobilisations mises hors service ou au rebut</t>
  </si>
  <si>
    <t>38 - Stocks en cours de route, en consignation ou en dépôt - OHADA</t>
  </si>
  <si>
    <t>"39 - Dépréciations des stocks et encours de production - OHADA"</t>
  </si>
  <si>
    <t>Dépréciations des stocks et encours de production</t>
  </si>
  <si>
    <t>3 - Comptes de Stocks - OHADA</t>
  </si>
  <si>
    <t>"391000 - Dépréciations des stocks de marchandises - OHADA"</t>
  </si>
  <si>
    <t>Dépréciations des stocks de marchandises</t>
  </si>
  <si>
    <t>39 - Dépréciations des stocks et encours de production - OHADA</t>
  </si>
  <si>
    <t>"392000 - Dépréciations des stocks de matières premières et fournitures liées - OHADA"</t>
  </si>
  <si>
    <t>Dépréciations des stocks de matières premières et fournitures liées</t>
  </si>
  <si>
    <t>39 - Dépréciations des stocks et encours de production - OHADA</t>
  </si>
  <si>
    <t>"393000 - Dépréciations des stocks d’autres approvisionnements - OHADA"</t>
  </si>
  <si>
    <t>Dépréciations des stocks d’autres approvisionnements</t>
  </si>
  <si>
    <t>39 - Dépréciations des stocks et encours de production - OHADA</t>
  </si>
  <si>
    <t>"394000 - Dépréciations des productions en cours - OHADA"</t>
  </si>
  <si>
    <t>Dépréciations des productions en cours</t>
  </si>
  <si>
    <t>39 - Dépréciations des stocks et encours de production - OHADA</t>
  </si>
  <si>
    <t>"395000 - Dépréciations des services en cours - OHADA"</t>
  </si>
  <si>
    <t>Dépréciations des services en cours</t>
  </si>
  <si>
    <t>39 - Dépréciations des stocks et encours de production - OHADA</t>
  </si>
  <si>
    <t>"396000 - Dépréciations des stocks de produits finis - OHADA"</t>
  </si>
  <si>
    <t>Dépréciations des stocks de produits finis</t>
  </si>
  <si>
    <t>39 - Dépréciations des stocks et encours de production - OHADA</t>
  </si>
  <si>
    <t>"397000 - Dépréciations des stocks de produits intermédiaires et résiduels - OHADA"</t>
  </si>
  <si>
    <t>Dépréciations des stocks de produits intermédiaires et résiduels</t>
  </si>
  <si>
    <t>39 - Dépréciations des stocks et encours de production - OHADA</t>
  </si>
  <si>
    <t>"398000 - Dépréciations des stocks en cours de route, en consignation ou en dépôt - OHADA"</t>
  </si>
  <si>
    <t>Dépréciations des stocks en cours de route, en consignation ou en dépôt</t>
  </si>
  <si>
    <t>39 - Dépréciations des stocks et encours de production - OHADA</t>
  </si>
  <si>
    <t>"4-Comptes de Tiers (ACTIF) - OHADA"</t>
  </si>
  <si>
    <t>4-Comptes de Tiers (ACTIF)</t>
  </si>
  <si>
    <t>"40-Fournisseurs et comptes rattachés (ACTIF) - OHADA"</t>
  </si>
  <si>
    <t>40-Fournisseurs et comptes rattachés (ACTIF)</t>
  </si>
  <si>
    <t>4-Comptes de Tiers (ACTIF) - OHADA</t>
  </si>
  <si>
    <t>"409000 - Fournisseurs débiteurs - OHADA"</t>
  </si>
  <si>
    <t>Fournisseurs débiteurs</t>
  </si>
  <si>
    <t>40-Fournisseurs et comptes rattachés (ACTIF) - OHADA</t>
  </si>
  <si>
    <t>"409100 - Fournisseurs Avances et acomptes versés - OHADA"</t>
  </si>
  <si>
    <t>Fournisseurs Avances et acomptes versés</t>
  </si>
  <si>
    <t>409000 - Fournisseurs débiteurs - OHADA</t>
  </si>
  <si>
    <t>"409200 - Fournisseurs Groupe avances et acomptes versés - OHADA"</t>
  </si>
  <si>
    <t>Fournisseurs Groupe avances et acomptes versés</t>
  </si>
  <si>
    <t>409000 - Fournisseurs débiteurs - OHADA</t>
  </si>
  <si>
    <t>"409300 - Fournisseurs Sous-traitants avances et acomptes versés - OHADA"</t>
  </si>
  <si>
    <t>Fournisseurs Sous-traitants avances et acomptes versés</t>
  </si>
  <si>
    <t>409000 - Fournisseurs débiteurs - OHADA</t>
  </si>
  <si>
    <t>"409400 - Fournisseurs Créances pour emballages et matériels à rendre - OHADA"</t>
  </si>
  <si>
    <t>Fournisseurs Créances pour emballages et matériels à rendre</t>
  </si>
  <si>
    <t>409000 - Fournisseurs débiteurs - OHADA</t>
  </si>
  <si>
    <t>"409800 - Fournisseurs Rabais, remises, ristournes et autres avoirs à obtenir - OHADA"</t>
  </si>
  <si>
    <t>Fournisseurs Rabais, remises, ristournes et autres avoirs à obtenir</t>
  </si>
  <si>
    <t>409000 - Fournisseurs débiteurs - OHADA</t>
  </si>
  <si>
    <t>"41-Clients et comptes rattachés (ACTIF) - OHADA"</t>
  </si>
  <si>
    <t>41-Clients et comptes rattachés (ACTIF)</t>
  </si>
  <si>
    <t>4-Comptes de Tiers (ACTIF) - OHADA</t>
  </si>
  <si>
    <t>Receivable</t>
  </si>
  <si>
    <t>"411000 - Clients - OHADA"</t>
  </si>
  <si>
    <t>Clients</t>
  </si>
  <si>
    <t>41-Clients et comptes rattachés (ACTIF) - OHADA</t>
  </si>
  <si>
    <t>Receivable</t>
  </si>
  <si>
    <t>"411100 - Clients - OHADA"</t>
  </si>
  <si>
    <t>Clients</t>
  </si>
  <si>
    <t>411000 - Clients - OHADA</t>
  </si>
  <si>
    <t>Receivable</t>
  </si>
  <si>
    <t>"411200 - Clients groupe - OHADA"</t>
  </si>
  <si>
    <t>Clients groupe</t>
  </si>
  <si>
    <t>411000 - Clients - OHADA</t>
  </si>
  <si>
    <t>Receivable</t>
  </si>
  <si>
    <t>"411400 - Clients, État et Collectivités publiques - OHADA"</t>
  </si>
  <si>
    <t>Clients, État et Collectivités publiques</t>
  </si>
  <si>
    <t>411000 - Clients - OHADA</t>
  </si>
  <si>
    <t>Receivable</t>
  </si>
  <si>
    <t>"411500 - Clients, organismes internationaux - OHADA"</t>
  </si>
  <si>
    <t>Clients, organismes internationaux</t>
  </si>
  <si>
    <t>411000 - Clients - OHADA</t>
  </si>
  <si>
    <t>Receivable</t>
  </si>
  <si>
    <t>"411600 - Clients, réserve de propriété - OHADA"</t>
  </si>
  <si>
    <t>Clients, réserve de propriété</t>
  </si>
  <si>
    <t>411000 - Clients - OHADA</t>
  </si>
  <si>
    <t>Receivable</t>
  </si>
  <si>
    <t>"411700 - Client, retenues de garantie - OHADA"</t>
  </si>
  <si>
    <t>Client, retenues de garantie</t>
  </si>
  <si>
    <t>411000 - Clients - OHADA</t>
  </si>
  <si>
    <t>Receivable</t>
  </si>
  <si>
    <t>"411800 - Clients, dégrèvement de taxes sur la valeur ajoutée (TVA) - OHADA"</t>
  </si>
  <si>
    <t>Clients, dégrèvement de taxes sur la valeur ajoutée (TVA)</t>
  </si>
  <si>
    <t>411000 - Clients - OHADA</t>
  </si>
  <si>
    <t>Receivable</t>
  </si>
  <si>
    <t>"412000 - Clients, effets à recevoir en portefeuille - OHADA"</t>
  </si>
  <si>
    <t>Clients, effets à recevoir en portefeuille</t>
  </si>
  <si>
    <t>41-Clients et comptes rattachés (ACTIF) - OHADA</t>
  </si>
  <si>
    <t>Receivable</t>
  </si>
  <si>
    <t>"412100 - Clients, effets à recevoir - OHADA"</t>
  </si>
  <si>
    <t>Clients, effets à recevoir</t>
  </si>
  <si>
    <t>412000 - Clients, effets à recevoir en portefeuille - OHADA</t>
  </si>
  <si>
    <t>Receivable</t>
  </si>
  <si>
    <t>"412200 - Clients Groupe, effets à recevoir - OHADA"</t>
  </si>
  <si>
    <t>Clients Groupe, effets à recevoir</t>
  </si>
  <si>
    <t>412000 - Clients, effets à recevoir en portefeuille - OHADA</t>
  </si>
  <si>
    <t>Receivable</t>
  </si>
  <si>
    <t>"412400 - État et Collectivités publiques, effets à recevoir - OHADA"</t>
  </si>
  <si>
    <t>État et Collectivités publiques, effets à recevoir</t>
  </si>
  <si>
    <t>412000 - Clients, effets à recevoir en portefeuille - OHADA</t>
  </si>
  <si>
    <t>Receivable</t>
  </si>
  <si>
    <t>"412500 - Organismes Internationaux, effets à recevoir - OHADA"</t>
  </si>
  <si>
    <t>Organismes Internationaux, effets à recevoir</t>
  </si>
  <si>
    <t>412000 - Clients, effets à recevoir en portefeuille - OHADA</t>
  </si>
  <si>
    <t>Receivable</t>
  </si>
  <si>
    <t>"413000 - Clients, chèques, effets et autres valeurs impayées - OHADA"</t>
  </si>
  <si>
    <t>Clients, chèques, effets et autres valeurs impayées</t>
  </si>
  <si>
    <t>41-Clients et comptes rattachés (ACTIF) - OHADA</t>
  </si>
  <si>
    <t>Receivable</t>
  </si>
  <si>
    <t>"413100 - Clients, chèques impayés - OHADA"</t>
  </si>
  <si>
    <t>Clients, chèques impayés</t>
  </si>
  <si>
    <t>413000 - Clients, chèques, effets et autres valeurs impayées - OHADA</t>
  </si>
  <si>
    <t>Receivable</t>
  </si>
  <si>
    <t>"413200 - Clients, effets impayés - OHADA"</t>
  </si>
  <si>
    <t>Clients, effets impayés</t>
  </si>
  <si>
    <t>413000 - Clients, chèques, effets et autres valeurs impayées - OHADA</t>
  </si>
  <si>
    <t>Receivable</t>
  </si>
  <si>
    <t>"413300 - Clients, cartes de crédit impayées - OHADA"</t>
  </si>
  <si>
    <t>Clients, cartes de crédit impayées</t>
  </si>
  <si>
    <t>413000 - Clients, chèques, effets et autres valeurs impayées - OHADA</t>
  </si>
  <si>
    <t>Receivable</t>
  </si>
  <si>
    <t>"413800 - Clients, autres valeurs impayées - OHADA"</t>
  </si>
  <si>
    <t>Clients, autres valeurs impayées</t>
  </si>
  <si>
    <t>413000 - Clients, chèques, effets et autres valeurs impayées - OHADA</t>
  </si>
  <si>
    <t>Receivable</t>
  </si>
  <si>
    <t>"414000 - Créances sur cessions courantes d’immobilisations - OHADA"</t>
  </si>
  <si>
    <t>Créances sur cessions courantes d’immobilisations</t>
  </si>
  <si>
    <t>41-Clients et comptes rattachés (ACTIF) - OHADA</t>
  </si>
  <si>
    <t>Receivable</t>
  </si>
  <si>
    <t>"414100 - Créances en compte, immobilisations incorporelles - OHADA"</t>
  </si>
  <si>
    <t>Créances en compte, immobilisations incorporelles</t>
  </si>
  <si>
    <t>414000 - Créances sur cessions courantes d’immobilisations - OHADA</t>
  </si>
  <si>
    <t>Receivable</t>
  </si>
  <si>
    <t>"414200 - Créances en compte, immobilisations corporelles - OHADA"</t>
  </si>
  <si>
    <t>Créances en compte, immobilisations corporelles</t>
  </si>
  <si>
    <t>414000 - Créances sur cessions courantes d’immobilisations - OHADA</t>
  </si>
  <si>
    <t>Receivable</t>
  </si>
  <si>
    <t>"414600 - Effets à recevoir, immobilisations incorporelles - OHADA"</t>
  </si>
  <si>
    <t>Effets à recevoir, immobilisations incorporelles</t>
  </si>
  <si>
    <t>414000 - Créances sur cessions courantes d’immobilisations - OHADA</t>
  </si>
  <si>
    <t>Receivable</t>
  </si>
  <si>
    <t>"414700 - Effets à recevoir, immobilisations corporelles - OHADA"</t>
  </si>
  <si>
    <t>Effets à recevoir, immobilisations corporelles</t>
  </si>
  <si>
    <t>414000 - Créances sur cessions courantes d’immobilisations - OHADA</t>
  </si>
  <si>
    <t>Receivable</t>
  </si>
  <si>
    <t>"415000 - Clients, effets escomptés non échus - OHADA"</t>
  </si>
  <si>
    <t>Clients, effets escomptés non échus</t>
  </si>
  <si>
    <t>41-Clients et comptes rattachés (ACTIF) - OHADA</t>
  </si>
  <si>
    <t>Receivable</t>
  </si>
  <si>
    <t>"416000 - Créances clients litigieuses ou douteuses - OHADA"</t>
  </si>
  <si>
    <t>Créances clients litigieuses ou douteuses</t>
  </si>
  <si>
    <t>41-Clients et comptes rattachés (ACTIF) - OHADA</t>
  </si>
  <si>
    <t>Receivable</t>
  </si>
  <si>
    <t>"416100 - Créances litigieuses - OHADA"</t>
  </si>
  <si>
    <t>Créances litigieuses</t>
  </si>
  <si>
    <t>416000 - Créances clients litigieuses ou douteuses - OHADA</t>
  </si>
  <si>
    <t>Receivable</t>
  </si>
  <si>
    <t>"416200 - Créances douteuses - OHADA"</t>
  </si>
  <si>
    <t>Créances douteuses</t>
  </si>
  <si>
    <t>416000 - Créances clients litigieuses ou douteuses - OHADA</t>
  </si>
  <si>
    <t>Receivable</t>
  </si>
  <si>
    <t>"418000 - Clients, produits à recevoir - OHADA"</t>
  </si>
  <si>
    <t>Clients, produits à recevoir</t>
  </si>
  <si>
    <t>41-Clients et comptes rattachés (ACTIF) - OHADA</t>
  </si>
  <si>
    <t>Receivable</t>
  </si>
  <si>
    <t>"418100 - Clients, factures à établir - OHADA"</t>
  </si>
  <si>
    <t>Clients, factures à établir</t>
  </si>
  <si>
    <t>418000 - Clients, produits à recevoir - OHADA</t>
  </si>
  <si>
    <t>Receivable</t>
  </si>
  <si>
    <t>"418600 - Clients, intérêts courus - OHADA"</t>
  </si>
  <si>
    <t>Clients, intérêts courus</t>
  </si>
  <si>
    <t>418000 - Clients, produits à recevoir - OHADA</t>
  </si>
  <si>
    <t>Receivable</t>
  </si>
  <si>
    <t>"42-Personnel (ACTIF) - OHADA"</t>
  </si>
  <si>
    <t>42-Personnel (ACTIF)</t>
  </si>
  <si>
    <t>4-Comptes de Tiers (ACTIF) - OHADA</t>
  </si>
  <si>
    <t>"421000 - Personnel, avances et acomptes - OHADA"</t>
  </si>
  <si>
    <t>Personnel, avances et acomptes</t>
  </si>
  <si>
    <t>42-Personnel (ACTIF) - OHADA</t>
  </si>
  <si>
    <t>"421100 - Personnel, avances - OHADA"</t>
  </si>
  <si>
    <t>Personnel, avances</t>
  </si>
  <si>
    <t>421000 - Personnel, avances et acomptes - OHADA</t>
  </si>
  <si>
    <t>"421200 - Personnel, acomptes - OHADA"</t>
  </si>
  <si>
    <t>Personnel, acomptes</t>
  </si>
  <si>
    <t>421000 - Personnel, avances et acomptes - OHADA</t>
  </si>
  <si>
    <t>"421300 - Frais avancés et fournitures au personnel - OHADA"</t>
  </si>
  <si>
    <t>Frais avancés et fournitures au personnel</t>
  </si>
  <si>
    <t>421000 - Personnel, avances et acomptes - OHADA</t>
  </si>
  <si>
    <t>"43-Organismes sociaux (ACTIF) - OHADA"</t>
  </si>
  <si>
    <t>43-Organismes sociaux (ACTIF)</t>
  </si>
  <si>
    <t>4-Comptes de Tiers (ACTIF) - OHADA</t>
  </si>
  <si>
    <t>"431-Sécurité sociale - OHADA"</t>
  </si>
  <si>
    <t>431-Sécurité sociale</t>
  </si>
  <si>
    <t>43-Organismes sociaux (ACTIF) - OHADA</t>
  </si>
  <si>
    <t>"431100 - Prestations familiales - OHADA"</t>
  </si>
  <si>
    <t>Prestations familiales</t>
  </si>
  <si>
    <t>431-Sécurité sociale - OHADA</t>
  </si>
  <si>
    <t>"431200 - Accidents de travail - OHADA"</t>
  </si>
  <si>
    <t>Accidents de travail</t>
  </si>
  <si>
    <t>431-Sécurité sociale - OHADA</t>
  </si>
  <si>
    <t>"431300 - Caisse de retraite obligatoire - OHADA"</t>
  </si>
  <si>
    <t>Caisse de retraite obligatoire</t>
  </si>
  <si>
    <t>431-Sécurité sociale - OHADA</t>
  </si>
  <si>
    <t>"431400 - Caisse de retraite facultative - OHADA"</t>
  </si>
  <si>
    <t>Caisse de retraite facultative</t>
  </si>
  <si>
    <t>431-Sécurité sociale - OHADA</t>
  </si>
  <si>
    <t>"431800 - Autres cotisations sociales - OHADA"</t>
  </si>
  <si>
    <t>Autres cotisations sociales</t>
  </si>
  <si>
    <t>431-Sécurité sociale - OHADA</t>
  </si>
  <si>
    <t>"432-Caisses de retraite complémentaire - OHADA"</t>
  </si>
  <si>
    <t>432-Caisses de retraite complémentaire</t>
  </si>
  <si>
    <t>43-Organismes sociaux (ACTIF) - OHADA</t>
  </si>
  <si>
    <t>"433-Autres organismes sociaux - OHADA"</t>
  </si>
  <si>
    <t>433-Autres organismes sociaux</t>
  </si>
  <si>
    <t>43-Organismes sociaux (ACTIF) - OHADA</t>
  </si>
  <si>
    <t>"433100 - Mutuelle - OHADA"</t>
  </si>
  <si>
    <t>Mutuelle</t>
  </si>
  <si>
    <t>433-Autres organismes sociaux - OHADA</t>
  </si>
  <si>
    <t>"433200 - Assurances retraite - OHADA"</t>
  </si>
  <si>
    <t>Assurances retraite</t>
  </si>
  <si>
    <t>433-Autres organismes sociaux - OHADA</t>
  </si>
  <si>
    <t>"433300 - Assurances et organismes de santé - OHADA"</t>
  </si>
  <si>
    <t>Assurances et organismes de santé</t>
  </si>
  <si>
    <t>433-Autres organismes sociaux - OHADA</t>
  </si>
  <si>
    <t>"438-Organismes sociaux, charges à payer et produits à recevoir - OHADA"</t>
  </si>
  <si>
    <t>438-Organismes sociaux, charges à payer et produits à recevoir</t>
  </si>
  <si>
    <t>43-Organismes sociaux (ACTIF) - OHADA</t>
  </si>
  <si>
    <t>"438700 - Produits à recevoir - OHADA"</t>
  </si>
  <si>
    <t>Produits à recevoir</t>
  </si>
  <si>
    <t>438-Organismes sociaux, charges à payer et produits à recevoir - OHADA</t>
  </si>
  <si>
    <t>"44-État et collectivités publiques (ACTIF) - OHADA"</t>
  </si>
  <si>
    <t>44-État et collectivités publiques (ACTIF)</t>
  </si>
  <si>
    <t>4-Comptes de Tiers (ACTIF) - OHADA</t>
  </si>
  <si>
    <t>"443000 - État, TVA facturée - OHADA"</t>
  </si>
  <si>
    <t>État, TVA facturée</t>
  </si>
  <si>
    <t>44-État et collectivités publiques (ACTIF) - OHADA</t>
  </si>
  <si>
    <t>"443100 - TVA facturée sur ventes - OHADA"</t>
  </si>
  <si>
    <t>TVA facturée sur ventes</t>
  </si>
  <si>
    <t>443000 - État, TVA facturée - OHADA</t>
  </si>
  <si>
    <t>"443200 - TVA facturée sur prestations de services - OHADA"</t>
  </si>
  <si>
    <t>TVA facturée sur prestations de services</t>
  </si>
  <si>
    <t>443000 - État, TVA facturée - OHADA</t>
  </si>
  <si>
    <t>"443300 - TVA facturée sur travaux - OHADA"</t>
  </si>
  <si>
    <t>TVA facturée sur travaux</t>
  </si>
  <si>
    <t>443000 - État, TVA facturée - OHADA</t>
  </si>
  <si>
    <t>"443400 - TVA facturée sur production livrée à soi-même - OHADA"</t>
  </si>
  <si>
    <t>TVA facturée sur production livrée à soi-même</t>
  </si>
  <si>
    <t>443000 - État, TVA facturée - OHADA</t>
  </si>
  <si>
    <t>"443500 - TVA sur factures à établir - OHADA"</t>
  </si>
  <si>
    <t>TVA sur factures à établir</t>
  </si>
  <si>
    <t>443000 - État, TVA facturée - OHADA</t>
  </si>
  <si>
    <t>"445000 - État, TVA récupérable - OHADA"</t>
  </si>
  <si>
    <t>État, TVA récupérable</t>
  </si>
  <si>
    <t>44-État et collectivités publiques (ACTIF) - OHADA</t>
  </si>
  <si>
    <t>"445100 - TVA récupérable sur immobilisations - OHADA"</t>
  </si>
  <si>
    <t>TVA récupérable sur immobilisations</t>
  </si>
  <si>
    <t>445000 - État, TVA récupérable - OHADA</t>
  </si>
  <si>
    <t>"445200 - TVA récupérable sur achats - OHADA"</t>
  </si>
  <si>
    <t>TVA récupérable sur achats</t>
  </si>
  <si>
    <t>445000 - État, TVA récupérable - OHADA</t>
  </si>
  <si>
    <t>"445300 - TVA récupérable sur transport - OHADA"</t>
  </si>
  <si>
    <t>TVA récupérable sur transport</t>
  </si>
  <si>
    <t>445000 - État, TVA récupérable - OHADA</t>
  </si>
  <si>
    <t>"445400 - TVA récupérable sur services extérieurs et autres charges - OHADA"</t>
  </si>
  <si>
    <t>TVA récupérable sur services extérieurs et autres charges</t>
  </si>
  <si>
    <t>445000 - État, TVA récupérable - OHADA</t>
  </si>
  <si>
    <t>"445500 - TVA récupérable sur factures non parvenues - OHADA"</t>
  </si>
  <si>
    <t>TVA récupérable sur factures non parvenues</t>
  </si>
  <si>
    <t>445000 - État, TVA récupérable - OHADA</t>
  </si>
  <si>
    <t>"445600 - TVA transférée par d’autres entités - OHADA"</t>
  </si>
  <si>
    <t>TVA transférée par d’autres entités</t>
  </si>
  <si>
    <t>445000 - État, TVA récupérable - OHADA</t>
  </si>
  <si>
    <t>"448000 - État, charges à payer et produits à recevoir - OHADA"</t>
  </si>
  <si>
    <t>État, charges à payer et produits à recevoir</t>
  </si>
  <si>
    <t>44-État et collectivités publiques (ACTIF) - OHADA</t>
  </si>
  <si>
    <t>"448600 - Charges à payer - OHADA"</t>
  </si>
  <si>
    <t>Charges à payer</t>
  </si>
  <si>
    <t>448000 - État, charges à payer et produits à recevoir - OHADA</t>
  </si>
  <si>
    <t>"448700 - Produits à recevoir - OHADA"</t>
  </si>
  <si>
    <t>Produits à recevoir</t>
  </si>
  <si>
    <t>448000 - État, charges à payer et produits à recevoir - OHADA</t>
  </si>
  <si>
    <t>"449000 - État, créances et dettes diverses - OHADA"</t>
  </si>
  <si>
    <t>État, créances et dettes diverses</t>
  </si>
  <si>
    <t>44-État et collectivités publiques (ACTIF) - OHADA</t>
  </si>
  <si>
    <t>"449100 - État, obligations cautionnées - OHADA"</t>
  </si>
  <si>
    <t>État, obligations cautionnées</t>
  </si>
  <si>
    <t>449000 - État, créances et dettes diverses - OHADA</t>
  </si>
  <si>
    <t>"449200 - État, avances et acomptes versés sur impôts - OHADA"</t>
  </si>
  <si>
    <t>État, avances et acomptes versés sur impôts</t>
  </si>
  <si>
    <t>449000 - État, créances et dettes diverses - OHADA</t>
  </si>
  <si>
    <t>"449300 - État, fonds de dotation à recevoir - OHADA"</t>
  </si>
  <si>
    <t>État, fonds de dotation à recevoir</t>
  </si>
  <si>
    <t>449000 - État, créances et dettes diverses - OHADA</t>
  </si>
  <si>
    <t>"449400 - État, subventions investissement à recevoir - OHADA"</t>
  </si>
  <si>
    <t>État, subventions investissement à recevoir</t>
  </si>
  <si>
    <t>449000 - État, créances et dettes diverses - OHADA</t>
  </si>
  <si>
    <t>"449500 - État, subventions d’exploitation à recevoir - OHADA"</t>
  </si>
  <si>
    <t>État, subventions d’exploitation à recevoir</t>
  </si>
  <si>
    <t>449000 - État, créances et dettes diverses - OHADA</t>
  </si>
  <si>
    <t>"449600 - État, subventions d’équilibre à recevoir - OHADA"</t>
  </si>
  <si>
    <t>État, subventions d’équilibre à recevoir</t>
  </si>
  <si>
    <t>449000 - État, créances et dettes diverses - OHADA</t>
  </si>
  <si>
    <t>"449700 - État, avances sur subventions - OHADA"</t>
  </si>
  <si>
    <t>État, avances sur subventions</t>
  </si>
  <si>
    <t>449000 - État, créances et dettes diverses - OHADA</t>
  </si>
  <si>
    <t>"449900 - État, fonds réglementés provisionnés - OHADA"</t>
  </si>
  <si>
    <t>État, fonds réglementés provisionnés</t>
  </si>
  <si>
    <t>449000 - État, créances et dettes diverses - OHADA</t>
  </si>
  <si>
    <t>"45-Organismes internationaux (ACTIF) - OHADA"</t>
  </si>
  <si>
    <t>45-Organismes internationaux (ACTIF)</t>
  </si>
  <si>
    <t>4-Comptes de Tiers (ACTIF) - OHADA</t>
  </si>
  <si>
    <t>"451000 - Opérations avec les organismes africains - OHADA"</t>
  </si>
  <si>
    <t>Opérations avec les organismes africains</t>
  </si>
  <si>
    <t>45-Organismes internationaux (ACTIF) - OHADA</t>
  </si>
  <si>
    <t>"452000 - Opérations avec les autres organismes internationaux - OHADA"</t>
  </si>
  <si>
    <t>Opérations avec les autres organismes internationaux</t>
  </si>
  <si>
    <t>45-Organismes internationaux (ACTIF) - OHADA</t>
  </si>
  <si>
    <t>"458000 - Organismes internationaux, fonds de dotation et subventions à recevoir - OHADA"</t>
  </si>
  <si>
    <t>Organismes internationaux, fonds de dotation et subventions à recevoir</t>
  </si>
  <si>
    <t>45-Organismes internationaux (ACTIF) - OHADA</t>
  </si>
  <si>
    <t>"458100 - Organismes internationaux, fonds de dotation à recevoir - OHADA"</t>
  </si>
  <si>
    <t>Organismes internationaux, fonds de dotation à recevoir</t>
  </si>
  <si>
    <t>458000 - Organismes internationaux, fonds de dotation et subventions à recevoir - OHADA</t>
  </si>
  <si>
    <t>"458200 - Organismes internationaux, subventions à recevoir - OHADA"</t>
  </si>
  <si>
    <t>Organismes internationaux, subventions à recevoir</t>
  </si>
  <si>
    <t>458000 - Organismes internationaux, fonds de dotation et subventions à recevoir - OHADA</t>
  </si>
  <si>
    <t>"46-Apporteurs, associés et groupe (ACTIF) - OHADA"</t>
  </si>
  <si>
    <t>46-Apporteurs, associés et groupe (ACTIF)</t>
  </si>
  <si>
    <t>4-Comptes de Tiers (ACTIF) - OHADA</t>
  </si>
  <si>
    <t>"461-Apporteurs, opérations sur le capital - OHADA"</t>
  </si>
  <si>
    <t>461-Apporteurs, opérations sur le capital</t>
  </si>
  <si>
    <t>46-Apporteurs, associés et groupe (ACTIF) - OHADA</t>
  </si>
  <si>
    <t>"461300 - Apporteurs, capital appelé, non versé - OHADA"</t>
  </si>
  <si>
    <t>Apporteurs, capital appelé, non versé</t>
  </si>
  <si>
    <t>461-Apporteurs, opérations sur le capital - OHADA</t>
  </si>
  <si>
    <t>"461400 - Apporteurs, compte d’apport, opérations de restructuration (fusion...) - OHADA"</t>
  </si>
  <si>
    <t>Apporteurs, compte d’apport, opérations de restructuration (fusion...)</t>
  </si>
  <si>
    <t>461-Apporteurs, opérations sur le capital - OHADA</t>
  </si>
  <si>
    <t>"461800 - Apporteurs, titres à échanger - OHADA"</t>
  </si>
  <si>
    <t>Apporteurs, titres à échanger</t>
  </si>
  <si>
    <t>461-Apporteurs, opérations sur le capital - OHADA</t>
  </si>
  <si>
    <t>"467000 - Apporteurs, restant dû sur capital appelé - OHADA"</t>
  </si>
  <si>
    <t>Apporteurs, restant dû sur capital appelé</t>
  </si>
  <si>
    <t>46-Apporteurs, associés et groupe (ACTIF) - OHADA</t>
  </si>
  <si>
    <t>"47-Débiteurs et créditeurs divers (ACTIF) - OHADA"</t>
  </si>
  <si>
    <t>47-Débiteurs et créditeurs divers (ACTIF)</t>
  </si>
  <si>
    <t>4-Comptes de Tiers (ACTIF) - OHADA</t>
  </si>
  <si>
    <t>"472-Créances et dettes sur titres de placement - OHADA"</t>
  </si>
  <si>
    <t>472-Créances et dettes sur titres de placement</t>
  </si>
  <si>
    <t>47-Débiteurs et créditeurs divers (ACTIF) - OHADA</t>
  </si>
  <si>
    <t>"472100 - Créances sur cessions de titres de placement - OHADA"</t>
  </si>
  <si>
    <t>Créances sur cessions de titres de placement</t>
  </si>
  <si>
    <t>472-Créances et dettes sur titres de placement - OHADA</t>
  </si>
  <si>
    <t>"472600 - Versements restant à effectuer sur titres de placement non libérés - OHADA"</t>
  </si>
  <si>
    <t>Versements restant à effectuer sur titres de placement non libérés</t>
  </si>
  <si>
    <t>472-Créances et dettes sur titres de placement - OHADA</t>
  </si>
  <si>
    <t>"473-Intermédiaires Opérations faites pour compte de tiers - OHADA"</t>
  </si>
  <si>
    <t>473-Intermédiaires Opérations faites pour compte de tiers</t>
  </si>
  <si>
    <t>47-Débiteurs et créditeurs divers (ACTIF) - OHADA</t>
  </si>
  <si>
    <t>"473100 - Mandants - OHADA"</t>
  </si>
  <si>
    <t>Mandants</t>
  </si>
  <si>
    <t>473-Intermédiaires Opérations faites pour compte de tiers - OHADA</t>
  </si>
  <si>
    <t>"473200 - Mandataires - OHADA"</t>
  </si>
  <si>
    <t>Mandataires</t>
  </si>
  <si>
    <t>473-Intermédiaires Opérations faites pour compte de tiers - OHADA</t>
  </si>
  <si>
    <t>"473300 - Commettants - OHADA"</t>
  </si>
  <si>
    <t>Commettants</t>
  </si>
  <si>
    <t>473-Intermédiaires Opérations faites pour compte de tiers - OHADA</t>
  </si>
  <si>
    <t>"473400 - Commissionnaires - OHADA"</t>
  </si>
  <si>
    <t>Commissionnaires</t>
  </si>
  <si>
    <t>473-Intermédiaires Opérations faites pour compte de tiers - OHADA</t>
  </si>
  <si>
    <t>"473900 - État, Collectivités publiques, fonds global d’allocation - OHADA"</t>
  </si>
  <si>
    <t>État, Collectivités publiques, fonds global d’allocation</t>
  </si>
  <si>
    <t>473-Intermédiaires Opérations faites pour compte de tiers - OHADA</t>
  </si>
  <si>
    <t>"474-Compte de répartition périodique des charges et des produits - OHADA"</t>
  </si>
  <si>
    <t>474-Compte de répartition périodique des charges et des produits</t>
  </si>
  <si>
    <t>47-Débiteurs et créditeurs divers (ACTIF) - OHADA</t>
  </si>
  <si>
    <t>"474700 - Compte de répartition périodique des produits - OHADA"</t>
  </si>
  <si>
    <t>Compte de répartition périodique des produits</t>
  </si>
  <si>
    <t>474-Compte de répartition périodique des charges et des produits - OHADA</t>
  </si>
  <si>
    <t>"475-Compte transitoire, ajustement spécial lié à la révision du SYSCOHADA - OHADA"</t>
  </si>
  <si>
    <t>475-Compte transitoire, ajustement spécial lié à la révision du SYSCOHADA</t>
  </si>
  <si>
    <t>47-Débiteurs et créditeurs divers (ACTIF) - OHADA</t>
  </si>
  <si>
    <t>"475100 - Compte actif - OHADA"</t>
  </si>
  <si>
    <t>Compte actif</t>
  </si>
  <si>
    <t>475-Compte transitoire, ajustement spécial lié à la révision du SYSCOHADA - OHADA</t>
  </si>
  <si>
    <t>Temporary</t>
  </si>
  <si>
    <t>"476000 - Charges constatées d’avance - OHADA"</t>
  </si>
  <si>
    <t>Charges constatées d’avance</t>
  </si>
  <si>
    <t>47-Débiteurs et créditeurs divers (ACTIF) - OHADA</t>
  </si>
  <si>
    <t>"478-Écarts de conversion actif - OHADA"</t>
  </si>
  <si>
    <t>478-Écarts de conversion actif</t>
  </si>
  <si>
    <t>47-Débiteurs et créditeurs divers (ACTIF) - OHADA</t>
  </si>
  <si>
    <t>"478100 - Diminution des créances d’exploitation - OHADA"</t>
  </si>
  <si>
    <t>Diminution des créances d’exploitation</t>
  </si>
  <si>
    <t>478-Écarts de conversion actif - OHADA</t>
  </si>
  <si>
    <t>"478200 - Diminution des créances financières - OHADA"</t>
  </si>
  <si>
    <t>Diminution des créances financières</t>
  </si>
  <si>
    <t>478-Écarts de conversion actif - OHADA</t>
  </si>
  <si>
    <t>"478300 - Augmentation des dettes d’exploitation - OHADA"</t>
  </si>
  <si>
    <t>Augmentation des dettes d’exploitation</t>
  </si>
  <si>
    <t>478-Écarts de conversion actif - OHADA</t>
  </si>
  <si>
    <t>"478400 - Augmentation des dettes financières - OHADA"</t>
  </si>
  <si>
    <t>Augmentation des dettes financières</t>
  </si>
  <si>
    <t>478-Écarts de conversion actif - OHADA</t>
  </si>
  <si>
    <t>"478600 - Différences d’évaluation sur instruments de trésorerie - OHADA"</t>
  </si>
  <si>
    <t>Différences d’évaluation sur instruments de trésorerie</t>
  </si>
  <si>
    <t>478-Écarts de conversion actif - OHADA</t>
  </si>
  <si>
    <t>"478800 - Différences compensées par couverture de change - OHADA"</t>
  </si>
  <si>
    <t>Différences compensées par couverture de change</t>
  </si>
  <si>
    <t>478-Écarts de conversion actif - OHADA</t>
  </si>
  <si>
    <t>"48-Créances et dettes hors activités ordinaires (ACTIF) - OHADA"</t>
  </si>
  <si>
    <t>48-Créances et dettes hors activités ordinaires (ACTIF)</t>
  </si>
  <si>
    <t>4-Comptes de Tiers (ACTIF) - OHADA</t>
  </si>
  <si>
    <t>"485000 - Créances sur cessions d’immobilisations - OHADA"</t>
  </si>
  <si>
    <t>Créances sur cessions d’immobilisations</t>
  </si>
  <si>
    <t>48-Créances et dettes hors activités ordinaires (ACTIF) - OHADA</t>
  </si>
  <si>
    <t>"485100 - En compte, immobilisations incorporelles - OHADA"</t>
  </si>
  <si>
    <t>En compte, immobilisations incorporelles</t>
  </si>
  <si>
    <t>485000 - Créances sur cessions d’immobilisations - OHADA</t>
  </si>
  <si>
    <t>"485200 - En compte, immobilisations corporelles - OHADA"</t>
  </si>
  <si>
    <t>En compte, immobilisations corporelles</t>
  </si>
  <si>
    <t>485000 - Créances sur cessions d’immobilisations - OHADA</t>
  </si>
  <si>
    <t>"485300 - Effets à recevoir, immobilisations incorporelles - OHADA"</t>
  </si>
  <si>
    <t>Effets à recevoir, immobilisations incorporelles</t>
  </si>
  <si>
    <t>485000 - Créances sur cessions d’immobilisations - OHADA</t>
  </si>
  <si>
    <t>"485400 - Effets à recevoir, immobilisations corporelles - OHADA"</t>
  </si>
  <si>
    <t>Effets à recevoir, immobilisations corporelles</t>
  </si>
  <si>
    <t>485000 - Créances sur cessions d’immobilisations - OHADA</t>
  </si>
  <si>
    <t>"485500 - Effets escomptés non échus - OHADA"</t>
  </si>
  <si>
    <t>Effets escomptés non échus</t>
  </si>
  <si>
    <t>485000 - Créances sur cessions d’immobilisations - OHADA</t>
  </si>
  <si>
    <t>"485700 - Retenues de garantie - OHADA"</t>
  </si>
  <si>
    <t>Retenues de garantie</t>
  </si>
  <si>
    <t>485000 - Créances sur cessions d’immobilisations - OHADA</t>
  </si>
  <si>
    <t>"485800 - Factures à établir - OHADA"</t>
  </si>
  <si>
    <t>Factures à établir</t>
  </si>
  <si>
    <t>485000 - Créances sur cessions d’immobilisations - OHADA</t>
  </si>
  <si>
    <t>"488000 - Autres créances hors activités ordinaires (HAO) - OHADA"</t>
  </si>
  <si>
    <t>Autres créances hors activités ordinaires (HAO)</t>
  </si>
  <si>
    <t>48-Créances et dettes hors activités ordinaires (ACTIF) - OHADA</t>
  </si>
  <si>
    <t>"49-Dépréciations et provisions pour risques à court terme (tiers) (ACTIF) - OHADA"</t>
  </si>
  <si>
    <t>49-Dépréciations et provisions pour risques à court terme (tiers) (ACTIF)</t>
  </si>
  <si>
    <t>4-Comptes de Tiers (ACTIF) - OHADA</t>
  </si>
  <si>
    <t>"491000 - Dépréciations des comptes clients - OHADA"</t>
  </si>
  <si>
    <t>Dépréciations des comptes clients</t>
  </si>
  <si>
    <t>49-Dépréciations et provisions pour risques à court terme (tiers) (ACTIF) - OHADA</t>
  </si>
  <si>
    <t>"491100 - Créances litigieuses - OHADA"</t>
  </si>
  <si>
    <t>Créances litigieuses</t>
  </si>
  <si>
    <t>491000 - Dépréciations des comptes clients - OHADA</t>
  </si>
  <si>
    <t>"491200 - Créances douteuses - OHADA"</t>
  </si>
  <si>
    <t>Créances douteuses</t>
  </si>
  <si>
    <t>491000 - Dépréciations des comptes clients - OHADA</t>
  </si>
  <si>
    <t>"495000 - Dépréciations des comptes organismes internationaux - OHADA"</t>
  </si>
  <si>
    <t>Dépréciations des comptes organismes internationaux</t>
  </si>
  <si>
    <t>49-Dépréciations et provisions pour risques à court terme (tiers) (ACTIF) - OHADA</t>
  </si>
  <si>
    <t>"496000 - Dépréciations des comptes apporteurs, associés et groupe - OHADA"</t>
  </si>
  <si>
    <t>Dépréciations des comptes apporteurs, associés et groupe</t>
  </si>
  <si>
    <t>49-Dépréciations et provisions pour risques à court terme (tiers) (ACTIF) - OHADA</t>
  </si>
  <si>
    <t>"496200 - Associés, comptes courants - OHADA"</t>
  </si>
  <si>
    <t>Associés, comptes courants</t>
  </si>
  <si>
    <t>496000 - Dépréciations des comptes apporteurs, associés et groupe - OHADA</t>
  </si>
  <si>
    <t>"496300 - Associés, opérations faites en commun - OHADA"</t>
  </si>
  <si>
    <t>Associés, opérations faites en commun</t>
  </si>
  <si>
    <t>496000 - Dépréciations des comptes apporteurs, associés et groupe - OHADA</t>
  </si>
  <si>
    <t>"496600 - Groupe, comptes courants - OHADA"</t>
  </si>
  <si>
    <t>Groupe, comptes courants</t>
  </si>
  <si>
    <t>496000 - Dépréciations des comptes apporteurs, associés et groupe - OHADA</t>
  </si>
  <si>
    <t>"497000 - Dépréciations des comptes débiteurs divers - OHADA"</t>
  </si>
  <si>
    <t>Dépréciations des comptes débiteurs divers</t>
  </si>
  <si>
    <t>49-Dépréciations et provisions pour risques à court terme (tiers) (ACTIF) - OHADA</t>
  </si>
  <si>
    <t>"498000 - Dépréciations des comptes de créances HAO - OHADA"</t>
  </si>
  <si>
    <t>Dépréciations des comptes de créances HAO</t>
  </si>
  <si>
    <t>49-Dépréciations et provisions pour risques à court terme (tiers) (ACTIF) - OHADA</t>
  </si>
  <si>
    <t>"498500 - Créances sur cessions d’immobilisations - OHADA"</t>
  </si>
  <si>
    <t>Créances sur cessions d’immobilisations</t>
  </si>
  <si>
    <t>498000 - Dépréciations des comptes de créances HAO - OHADA</t>
  </si>
  <si>
    <t>"498600 - Créances sur cessions de titres de placement - OHADA"</t>
  </si>
  <si>
    <t>Créances sur cessions de titres de placement</t>
  </si>
  <si>
    <t>498000 - Dépréciations des comptes de créances HAO - OHADA</t>
  </si>
  <si>
    <t>"498800 - Autres créances HAO - OHADA"</t>
  </si>
  <si>
    <t>Autres créances HAO</t>
  </si>
  <si>
    <t>498000 - Dépréciations des comptes de créances HAO - OHADA</t>
  </si>
  <si>
    <t>"499000 - Provisions pour risques à court terme - OHADA"</t>
  </si>
  <si>
    <t>Provisions pour risques à court terme</t>
  </si>
  <si>
    <t>49-Dépréciations et provisions pour risques à court terme (tiers) (ACTIF) - OHADA</t>
  </si>
  <si>
    <t>"499100 - Sur opérations d’exploitation - OHADA"</t>
  </si>
  <si>
    <t>Sur opérations d’exploitation</t>
  </si>
  <si>
    <t>499000 - Provisions pour risques à court terme - OHADA</t>
  </si>
  <si>
    <t>"499700 - Sur opérations financières - OHADA"</t>
  </si>
  <si>
    <t>Sur opérations financières</t>
  </si>
  <si>
    <t>499000 - Provisions pour risques à court terme - OHADA</t>
  </si>
  <si>
    <t>"499800 - Sur opérations HAO - OHADA"</t>
  </si>
  <si>
    <t>Sur opérations HAO</t>
  </si>
  <si>
    <t>499000 - Provisions pour risques à court terme - OHADA</t>
  </si>
  <si>
    <t>"4-Comptes de Tiers (PASSIF) - OHADA"</t>
  </si>
  <si>
    <t>4-Comptes de Tiers (PASSIF)</t>
  </si>
  <si>
    <t>"40-Fournisseurs et comptes rattachés (PASSIF) - OHADA"</t>
  </si>
  <si>
    <t>40-Fournisseurs et comptes rattachés (PASSIF)</t>
  </si>
  <si>
    <t>4-Comptes de Tiers (PASSIF) - OHADA</t>
  </si>
  <si>
    <t>Payable</t>
  </si>
  <si>
    <t>"401000 - Fournisseurs, dettes en compte - OHADA"</t>
  </si>
  <si>
    <t>Fournisseurs, dettes en compte</t>
  </si>
  <si>
    <t>40-Fournisseurs et comptes rattachés (PASSIF) - OHADA</t>
  </si>
  <si>
    <t>Payable</t>
  </si>
  <si>
    <t>"401100 - Fournisseurs - OHADA"</t>
  </si>
  <si>
    <t>Fournisseurs</t>
  </si>
  <si>
    <t>401000 - Fournisseurs, dettes en compte - OHADA</t>
  </si>
  <si>
    <t>Payable</t>
  </si>
  <si>
    <t>"401200 - Fournisseurs groupe - OHADA"</t>
  </si>
  <si>
    <t>Fournisseurs groupe</t>
  </si>
  <si>
    <t>401000 - Fournisseurs, dettes en compte - OHADA</t>
  </si>
  <si>
    <t>Payable</t>
  </si>
  <si>
    <t>"401300 - Fournisseurs sous-traitants - OHADA"</t>
  </si>
  <si>
    <t>Fournisseurs sous-traitants</t>
  </si>
  <si>
    <t>401000 - Fournisseurs, dettes en compte - OHADA</t>
  </si>
  <si>
    <t>Payable</t>
  </si>
  <si>
    <t>"401600 - Fournisseurs, réserve de propriété - OHADA"</t>
  </si>
  <si>
    <t>Fournisseurs, réserve de propriété</t>
  </si>
  <si>
    <t>401000 - Fournisseurs, dettes en compte - OHADA</t>
  </si>
  <si>
    <t>Payable</t>
  </si>
  <si>
    <t>"401700 - Fournisseur, retenues de garantie - OHADA"</t>
  </si>
  <si>
    <t>Fournisseur, retenues de garantie</t>
  </si>
  <si>
    <t>401000 - Fournisseurs, dettes en compte - OHADA</t>
  </si>
  <si>
    <t>Payable</t>
  </si>
  <si>
    <t>"402000 - Fournisseurs, effets à payer - OHADA"</t>
  </si>
  <si>
    <t>Fournisseurs, effets à payer</t>
  </si>
  <si>
    <t>40-Fournisseurs et comptes rattachés (PASSIF) - OHADA</t>
  </si>
  <si>
    <t>Payable</t>
  </si>
  <si>
    <t>"402100 - Fournisseurs Effets à payer - OHADA"</t>
  </si>
  <si>
    <t>Fournisseurs Effets à payer</t>
  </si>
  <si>
    <t>402000 - Fournisseurs, effets à payer - OHADA</t>
  </si>
  <si>
    <t>Payable</t>
  </si>
  <si>
    <t>"402200 - Fournisseurs Groupe, effets à payer - OHADA"</t>
  </si>
  <si>
    <t>Fournisseurs Groupe, effets à payer</t>
  </si>
  <si>
    <t>402000 - Fournisseurs, effets à payer - OHADA</t>
  </si>
  <si>
    <t>Payable</t>
  </si>
  <si>
    <t>"402300 - Fournisseurs Sous-traitants, effets à payer - OHADA"</t>
  </si>
  <si>
    <t>Fournisseurs Sous-traitants, effets à payer</t>
  </si>
  <si>
    <t>402000 - Fournisseurs, effets à payer - OHADA</t>
  </si>
  <si>
    <t>Payable</t>
  </si>
  <si>
    <t>"404000 - Fournisseurs, acquisitions courantes d’immobilisations - OHADA"</t>
  </si>
  <si>
    <t>Fournisseurs, acquisitions courantes d’immobilisations</t>
  </si>
  <si>
    <t>40-Fournisseurs et comptes rattachés (PASSIF) - OHADA</t>
  </si>
  <si>
    <t>Payable</t>
  </si>
  <si>
    <t>"404100 - Fournisseurs Dettes en comptes, immobilisations incorporelles - OHADA"</t>
  </si>
  <si>
    <t>Fournisseurs Dettes en comptes, immobilisations incorporelles</t>
  </si>
  <si>
    <t>404000 - Fournisseurs, acquisitions courantes d’immobilisations - OHADA</t>
  </si>
  <si>
    <t>Payable</t>
  </si>
  <si>
    <t>"404200 - Fournisseurs Dettes en comptes, immobilisations corporelles - OHADA"</t>
  </si>
  <si>
    <t>Fournisseurs Dettes en comptes, immobilisations corporelles</t>
  </si>
  <si>
    <t>404000 - Fournisseurs, acquisitions courantes d’immobilisations - OHADA</t>
  </si>
  <si>
    <t>Payable</t>
  </si>
  <si>
    <t>"404600 - Fournisseurs Effets à payer, immobilisations incorporelles - OHADA"</t>
  </si>
  <si>
    <t>Fournisseurs Effets à payer, immobilisations incorporelles</t>
  </si>
  <si>
    <t>404000 - Fournisseurs, acquisitions courantes d’immobilisations - OHADA</t>
  </si>
  <si>
    <t>Payable</t>
  </si>
  <si>
    <t>"404700 - Fournisseurs Effets à payer, immobilisations corporelles - OHADA"</t>
  </si>
  <si>
    <t>Fournisseurs Effets à payer, immobilisations corporelles</t>
  </si>
  <si>
    <t>404000 - Fournisseurs, acquisitions courantes d’immobilisations - OHADA</t>
  </si>
  <si>
    <t>Payable</t>
  </si>
  <si>
    <t>"408000 - Fournisseurs, factures non parvenues - OHADA"</t>
  </si>
  <si>
    <t>Fournisseurs, factures non parvenues</t>
  </si>
  <si>
    <t>40-Fournisseurs et comptes rattachés (PASSIF) - OHADA</t>
  </si>
  <si>
    <t>Stock Received But Not Billed</t>
  </si>
  <si>
    <t>"408100 - Fournisseurs - OHADA"</t>
  </si>
  <si>
    <t>Fournisseurs</t>
  </si>
  <si>
    <t>408000 - Fournisseurs, factures non parvenues - OHADA</t>
  </si>
  <si>
    <t>Stock Received But Not Billed</t>
  </si>
  <si>
    <t>"408200 - Fournisseurs groupe - OHADA"</t>
  </si>
  <si>
    <t>Fournisseurs groupe</t>
  </si>
  <si>
    <t>408000 - Fournisseurs, factures non parvenues - OHADA</t>
  </si>
  <si>
    <t>Stock Received But Not Billed</t>
  </si>
  <si>
    <t>"408300 - Fournisseurs sous-traitants - OHADA"</t>
  </si>
  <si>
    <t>Fournisseurs sous-traitants</t>
  </si>
  <si>
    <t>408000 - Fournisseurs, factures non parvenues - OHADA</t>
  </si>
  <si>
    <t>Stock Received But Not Billed</t>
  </si>
  <si>
    <t>"408600 - Fournisseurs, intérêts courus - OHADA"</t>
  </si>
  <si>
    <t>Fournisseurs, intérêts courus</t>
  </si>
  <si>
    <t>408000 - Fournisseurs, factures non parvenues - OHADA</t>
  </si>
  <si>
    <t>Stock Received But Not Billed</t>
  </si>
  <si>
    <t>"41-Clients et comptes rattachés (PASSIF) - OHADA"</t>
  </si>
  <si>
    <t>41-Clients et comptes rattachés (PASSIF)</t>
  </si>
  <si>
    <t>4-Comptes de Tiers (PASSIF) - OHADA</t>
  </si>
  <si>
    <t>"419000 - Clients créditeurs - OHADA"</t>
  </si>
  <si>
    <t>Clients créditeurs</t>
  </si>
  <si>
    <t>41-Clients et comptes rattachés (PASSIF) - OHADA</t>
  </si>
  <si>
    <t>"419100 - Clients, avances et acomptes reçus - OHADA"</t>
  </si>
  <si>
    <t>Clients, avances et acomptes reçus</t>
  </si>
  <si>
    <t>419000 - Clients créditeurs - OHADA</t>
  </si>
  <si>
    <t>"419200 - Clients groupe, avances et acomptes reçus - OHADA"</t>
  </si>
  <si>
    <t>Clients groupe, avances et acomptes reçus</t>
  </si>
  <si>
    <t>419000 - Clients créditeurs - OHADA</t>
  </si>
  <si>
    <t>"419400 - Clients, dettes pour emballages et matériels consignés - OHADA"</t>
  </si>
  <si>
    <t>Clients, dettes pour emballages et matériels consignés</t>
  </si>
  <si>
    <t>419000 - Clients créditeurs - OHADA</t>
  </si>
  <si>
    <t>"419800 - Clients, rabais, remises, ristournes et autres avoirs à accorder - OHADA"</t>
  </si>
  <si>
    <t>Clients, rabais, remises, ristournes et autres avoirs à accorder</t>
  </si>
  <si>
    <t>419000 - Clients créditeurs - OHADA</t>
  </si>
  <si>
    <t>"42-Personnel (PASSIF) - OHADA"</t>
  </si>
  <si>
    <t>42-Personnel (PASSIF)</t>
  </si>
  <si>
    <t>4-Comptes de Tiers (PASSIF) - OHADA</t>
  </si>
  <si>
    <t>"422000 - Personnel, rémunérations dues - OHADA"</t>
  </si>
  <si>
    <t>Personnel, rémunérations dues</t>
  </si>
  <si>
    <t>42-Personnel (PASSIF) - OHADA</t>
  </si>
  <si>
    <t>"423000 - Personnel, oppositions, saisies-arrêts - OHADA"</t>
  </si>
  <si>
    <t>Personnel, oppositions, saisies-arrêts</t>
  </si>
  <si>
    <t>42-Personnel (PASSIF) - OHADA</t>
  </si>
  <si>
    <t>"423100 - Personnel, oppositions - OHADA"</t>
  </si>
  <si>
    <t>Personnel, oppositions</t>
  </si>
  <si>
    <t>423000 - Personnel, oppositions, saisies-arrêts - OHADA</t>
  </si>
  <si>
    <t>"423200 - Personnel, saisies-arrêts - OHADA"</t>
  </si>
  <si>
    <t>Personnel, saisies-arrêts</t>
  </si>
  <si>
    <t>423000 - Personnel, oppositions, saisies-arrêts - OHADA</t>
  </si>
  <si>
    <t>"423300 - Personnel, avis à tiers détenteur - OHADA"</t>
  </si>
  <si>
    <t>Personnel, avis à tiers détenteur</t>
  </si>
  <si>
    <t>423000 - Personnel, oppositions, saisies-arrêts - OHADA</t>
  </si>
  <si>
    <t>"424000 - Personnel, œuvres sociales internes - OHADA"</t>
  </si>
  <si>
    <t>Personnel, œuvres sociales internes</t>
  </si>
  <si>
    <t>42-Personnel (PASSIF) - OHADA</t>
  </si>
  <si>
    <t>"424100 - Assistance médicale - OHADA"</t>
  </si>
  <si>
    <t>Assistance médicale</t>
  </si>
  <si>
    <t>424000 - Personnel, œuvres sociales internes - OHADA</t>
  </si>
  <si>
    <t>"424200 - Allocations familiales - OHADA"</t>
  </si>
  <si>
    <t>Allocations familiales</t>
  </si>
  <si>
    <t>424000 - Personnel, œuvres sociales internes - OHADA</t>
  </si>
  <si>
    <t>"424500 - Organismes sociaux rattachés à l’entité - OHADA"</t>
  </si>
  <si>
    <t>Organismes sociaux rattachés à l’entité</t>
  </si>
  <si>
    <t>424000 - Personnel, œuvres sociales internes - OHADA</t>
  </si>
  <si>
    <t>"424800 - Autres œuvres sociales internes - OHADA"</t>
  </si>
  <si>
    <t>Autres œuvres sociales internes</t>
  </si>
  <si>
    <t>424000 - Personnel, œuvres sociales internes - OHADA</t>
  </si>
  <si>
    <t>"425000 - Représentants du personnel - OHADA"</t>
  </si>
  <si>
    <t>Représentants du personnel</t>
  </si>
  <si>
    <t>42-Personnel (PASSIF) - OHADA</t>
  </si>
  <si>
    <t>"425100 - Délégués du personnel - OHADA"</t>
  </si>
  <si>
    <t>Délégués du personnel</t>
  </si>
  <si>
    <t>425000 - Représentants du personnel - OHADA</t>
  </si>
  <si>
    <t>"425200 - Syndicats et Comités d’entreprises, d’Établissement - OHADA"</t>
  </si>
  <si>
    <t>Syndicats et Comités d’entreprises, d’Établissement</t>
  </si>
  <si>
    <t>425000 - Représentants du personnel - OHADA</t>
  </si>
  <si>
    <t>"425800 - Autres représentants du personnel - OHADA"</t>
  </si>
  <si>
    <t>Autres représentants du personnel</t>
  </si>
  <si>
    <t>425000 - Représentants du personnel - OHADA</t>
  </si>
  <si>
    <t>"426000 - Personnel, participation aux bénéfices et au capital - OHADA"</t>
  </si>
  <si>
    <t>Personnel, participation aux bénéfices et au capital</t>
  </si>
  <si>
    <t>42-Personnel (PASSIF) - OHADA</t>
  </si>
  <si>
    <t>"426100 - Participation aux bénéfices - OHADA"</t>
  </si>
  <si>
    <t>Participation aux bénéfices</t>
  </si>
  <si>
    <t>426000 - Personnel, participation aux bénéfices et au capital - OHADA</t>
  </si>
  <si>
    <t>"426400 - Participation au capital - OHADA"</t>
  </si>
  <si>
    <t>Participation au capital</t>
  </si>
  <si>
    <t>426000 - Personnel, participation aux bénéfices et au capital - OHADA</t>
  </si>
  <si>
    <t>"427000 - Personnel dépôts - OHADA"</t>
  </si>
  <si>
    <t>Personnel dépôts</t>
  </si>
  <si>
    <t>42-Personnel (PASSIF) - OHADA</t>
  </si>
  <si>
    <t>"428000 - Personnel, charges à payer et produits à recevoir - OHADA"</t>
  </si>
  <si>
    <t>Personnel, charges à payer et produits à recevoir</t>
  </si>
  <si>
    <t>42-Personnel (PASSIF) - OHADA</t>
  </si>
  <si>
    <t>"428100 - Dettes provisionnées pour congés à payer - OHADA"</t>
  </si>
  <si>
    <t>Dettes provisionnées pour congés à payer</t>
  </si>
  <si>
    <t>428000 - Personnel, charges à payer et produits à recevoir - OHADA</t>
  </si>
  <si>
    <t>"428600 - Autres charges à payer - OHADA"</t>
  </si>
  <si>
    <t>Autres charges à payer</t>
  </si>
  <si>
    <t>428000 - Personnel, charges à payer et produits à recevoir - OHADA</t>
  </si>
  <si>
    <t>"428700 - Produits à recevoir - OHADA"</t>
  </si>
  <si>
    <t>Produits à recevoir</t>
  </si>
  <si>
    <t>428000 - Personnel, charges à payer et produits à recevoir - OHADA</t>
  </si>
  <si>
    <t>"43-Organismes sociaux (PASSIF) - OHADA"</t>
  </si>
  <si>
    <t>43-Organismes sociaux (PASSIF)</t>
  </si>
  <si>
    <t>4-Comptes de Tiers (PASSIF) - OHADA</t>
  </si>
  <si>
    <t>"438-Organismes sociaux, charges à payer et produits à recevoir 1 - OHADA"</t>
  </si>
  <si>
    <t>438-Organismes sociaux, charges à payer et produits à recevoir 1</t>
  </si>
  <si>
    <t>43-Organismes sociaux (PASSIF) - OHADA</t>
  </si>
  <si>
    <t>"438100 - Charges sociales sur gratifications à payer - OHADA"</t>
  </si>
  <si>
    <t>Charges sociales sur gratifications à payer</t>
  </si>
  <si>
    <t>438-Organismes sociaux, charges à payer et produits à recevoir 1 - OHADA</t>
  </si>
  <si>
    <t>"438200 - Charges sociales sur congés à payer - OHADA"</t>
  </si>
  <si>
    <t>Charges sociales sur congés à payer</t>
  </si>
  <si>
    <t>438-Organismes sociaux, charges à payer et produits à recevoir 1 - OHADA</t>
  </si>
  <si>
    <t>"438600 - Autres charges à payer - OHADA"</t>
  </si>
  <si>
    <t>Autres charges à payer</t>
  </si>
  <si>
    <t>438-Organismes sociaux, charges à payer et produits à recevoir 1 - OHADA</t>
  </si>
  <si>
    <t>"44-État et collectivités publiques (PASSIF) - OHADA"</t>
  </si>
  <si>
    <t>44-État et collectivités publiques (PASSIF)</t>
  </si>
  <si>
    <t>4-Comptes de Tiers (PASSIF) - OHADA</t>
  </si>
  <si>
    <t>"441000 - État, impôt sur les bénéfices - OHADA"</t>
  </si>
  <si>
    <t>État, impôt sur les bénéfices</t>
  </si>
  <si>
    <t>44-État et collectivités publiques (PASSIF) - OHADA</t>
  </si>
  <si>
    <t>"442000 - État, autres impôts et taxes - OHADA"</t>
  </si>
  <si>
    <t>État, autres impôts et taxes</t>
  </si>
  <si>
    <t>44-État et collectivités publiques (PASSIF) - OHADA</t>
  </si>
  <si>
    <t>"442100 - Impôts et taxes d’État - OHADA"</t>
  </si>
  <si>
    <t>Impôts et taxes d’État</t>
  </si>
  <si>
    <t>442000 - État, autres impôts et taxes - OHADA</t>
  </si>
  <si>
    <t>"442200 - Impôts et taxes pour les collectivités publiques - OHADA"</t>
  </si>
  <si>
    <t>Impôts et taxes pour les collectivités publiques</t>
  </si>
  <si>
    <t>442000 - État, autres impôts et taxes - OHADA</t>
  </si>
  <si>
    <t>"442300 - Impôts et taxes recouvrables sur des obligataires - OHADA"</t>
  </si>
  <si>
    <t>Impôts et taxes recouvrables sur des obligataires</t>
  </si>
  <si>
    <t>442000 - État, autres impôts et taxes - OHADA</t>
  </si>
  <si>
    <t>"442400 - Impôts et taxes recouvrables sur des associés - OHADA"</t>
  </si>
  <si>
    <t>Impôts et taxes recouvrables sur des associés</t>
  </si>
  <si>
    <t>442000 - État, autres impôts et taxes - OHADA</t>
  </si>
  <si>
    <t>"442600 - Droits de douane - OHADA"</t>
  </si>
  <si>
    <t>Droits de douane</t>
  </si>
  <si>
    <t>442000 - État, autres impôts et taxes - OHADA</t>
  </si>
  <si>
    <t>"442800 - Autres impôts et taxes - OHADA"</t>
  </si>
  <si>
    <t>Autres impôts et taxes</t>
  </si>
  <si>
    <t>442000 - État, autres impôts et taxes - OHADA</t>
  </si>
  <si>
    <t>"444000 - État, TVA due ou crédit de TVA - OHADA"</t>
  </si>
  <si>
    <t>État, TVA due ou crédit de TVA</t>
  </si>
  <si>
    <t>44-État et collectivités publiques (PASSIF) - OHADA</t>
  </si>
  <si>
    <t>"444100 - État, TVA due - OHADA"</t>
  </si>
  <si>
    <t>État, TVA due</t>
  </si>
  <si>
    <t>444000 - État, TVA due ou crédit de TVA - OHADA</t>
  </si>
  <si>
    <t>"444900 - État, crédit de TVA à reporter - OHADA"</t>
  </si>
  <si>
    <t>État, crédit de TVA à reporter</t>
  </si>
  <si>
    <t>444000 - État, TVA due ou crédit de TVA - OHADA</t>
  </si>
  <si>
    <t>"446000 - État, autres taxes sur le chiffre d’affaires - OHADA"</t>
  </si>
  <si>
    <t>État, autres taxes sur le chiffre d’affaires</t>
  </si>
  <si>
    <t>44-État et collectivités publiques (PASSIF) - OHADA</t>
  </si>
  <si>
    <t>"447000 - État, impôts retenus à la source - OHADA"</t>
  </si>
  <si>
    <t>État, impôts retenus à la source</t>
  </si>
  <si>
    <t>44-État et collectivités publiques (PASSIF) - OHADA</t>
  </si>
  <si>
    <t>"447100 - Impôt Général sur le revenu - OHADA"</t>
  </si>
  <si>
    <t>Impôt Général sur le revenu</t>
  </si>
  <si>
    <t>447000 - État, impôts retenus à la source - OHADA</t>
  </si>
  <si>
    <t>"447200 - Impôts sur salaires - OHADA"</t>
  </si>
  <si>
    <t>Impôts sur salaires</t>
  </si>
  <si>
    <t>447000 - État, impôts retenus à la source - OHADA</t>
  </si>
  <si>
    <t>"447300 - Contribution nationale - OHADA"</t>
  </si>
  <si>
    <t>Contribution nationale</t>
  </si>
  <si>
    <t>447000 - État, impôts retenus à la source - OHADA</t>
  </si>
  <si>
    <t>"447400 - Contribution nationale de solidarité - OHADA"</t>
  </si>
  <si>
    <t>Contribution nationale de solidarité</t>
  </si>
  <si>
    <t>447000 - État, impôts retenus à la source - OHADA</t>
  </si>
  <si>
    <t>"447800 - Autres impôts et contributions - OHADA"</t>
  </si>
  <si>
    <t>Autres impôts et contributions</t>
  </si>
  <si>
    <t>447000 - État, impôts retenus à la source - OHADA</t>
  </si>
  <si>
    <t>"46-Apporteurs, associés et groupe (PASSIF) - OHADA"</t>
  </si>
  <si>
    <t>46-Apporteurs, associés et groupe (PASSIF)</t>
  </si>
  <si>
    <t>4-Comptes de Tiers (PASSIF) - OHADA</t>
  </si>
  <si>
    <t>"461-Apporteurs, opérations sur le capital (PASSIF) - OHADA"</t>
  </si>
  <si>
    <t>461-Apporteurs, opérations sur le capital (PASSIF)</t>
  </si>
  <si>
    <t>46-Apporteurs, associés et groupe (PASSIF) - OHADA</t>
  </si>
  <si>
    <t>"461100 - Apporteurs, apports en nature - OHADA"</t>
  </si>
  <si>
    <t>Apporteurs, apports en nature</t>
  </si>
  <si>
    <t>461-Apporteurs, opérations sur le capital (PASSIF) - OHADA</t>
  </si>
  <si>
    <t>"461200 - Apporteurs, apports en numéraire - OHADA"</t>
  </si>
  <si>
    <t>Apporteurs, apports en numéraire</t>
  </si>
  <si>
    <t>461-Apporteurs, opérations sur le capital (PASSIF) - OHADA</t>
  </si>
  <si>
    <t>"461500 - Apporteurs, versements reçus sur augmentation de capital - OHADA"</t>
  </si>
  <si>
    <t>Apporteurs, versements reçus sur augmentation de capital</t>
  </si>
  <si>
    <t>461-Apporteurs, opérations sur le capital (PASSIF) - OHADA</t>
  </si>
  <si>
    <t>"461600 - Apporteurs, versements anticipés - OHADA"</t>
  </si>
  <si>
    <t>Apporteurs, versements anticipés</t>
  </si>
  <si>
    <t>461-Apporteurs, opérations sur le capital (PASSIF) - OHADA</t>
  </si>
  <si>
    <t>"461700 - Apporteurs défaillants - OHADA"</t>
  </si>
  <si>
    <t>Apporteurs défaillants</t>
  </si>
  <si>
    <t>461-Apporteurs, opérations sur le capital (PASSIF) - OHADA</t>
  </si>
  <si>
    <t>"461900 - Apporteurs, capital à rembourser - OHADA"</t>
  </si>
  <si>
    <t>Apporteurs, capital à rembourser</t>
  </si>
  <si>
    <t>461-Apporteurs, opérations sur le capital (PASSIF) - OHADA</t>
  </si>
  <si>
    <t>"462-Associés, comptes courants - OHADA"</t>
  </si>
  <si>
    <t>462-Associés, comptes courants</t>
  </si>
  <si>
    <t>46-Apporteurs, associés et groupe (PASSIF) - OHADA</t>
  </si>
  <si>
    <t>"462100 - Principal - OHADA"</t>
  </si>
  <si>
    <t>Principal</t>
  </si>
  <si>
    <t>462-Associés, comptes courants - OHADA</t>
  </si>
  <si>
    <t>"462600 - Intérêts courus - OHADA"</t>
  </si>
  <si>
    <t>Intérêts courus</t>
  </si>
  <si>
    <t>462-Associés, comptes courants - OHADA</t>
  </si>
  <si>
    <t>"463-Associés, opérations faites en commun et GIE - OHADA"</t>
  </si>
  <si>
    <t>463-Associés, opérations faites en commun et GIE</t>
  </si>
  <si>
    <t>46-Apporteurs, associés et groupe (PASSIF) - OHADA</t>
  </si>
  <si>
    <t>"463100 - Opérations courantes - OHADA"</t>
  </si>
  <si>
    <t>Opérations courantes</t>
  </si>
  <si>
    <t>463-Associés, opérations faites en commun et GIE - OHADA</t>
  </si>
  <si>
    <t>"463600 - Intérêts courus - OHADA"</t>
  </si>
  <si>
    <t>Intérêts courus</t>
  </si>
  <si>
    <t>463-Associés, opérations faites en commun et GIE - OHADA</t>
  </si>
  <si>
    <t>"465000 - Associés, dividendes à payer - OHADA"</t>
  </si>
  <si>
    <t>Associés, dividendes à payer</t>
  </si>
  <si>
    <t>46-Apporteurs, associés et groupe (PASSIF) - OHADA</t>
  </si>
  <si>
    <t>"466000 - Groupe, comptes courants - OHADA"</t>
  </si>
  <si>
    <t>Groupe, comptes courants</t>
  </si>
  <si>
    <t>46-Apporteurs, associés et groupe (PASSIF) - OHADA</t>
  </si>
  <si>
    <t>"47-Débiteurs et créditeurs divers (PASSIF) - OHADA"</t>
  </si>
  <si>
    <t>47-Débiteurs et créditeurs divers (PASSIF)</t>
  </si>
  <si>
    <t>4-Comptes de Tiers (PASSIF) - OHADA</t>
  </si>
  <si>
    <t>"471-Débiteurs et créditeurs divers - OHADA"</t>
  </si>
  <si>
    <t>471-Débiteurs et créditeurs divers</t>
  </si>
  <si>
    <t>47-Débiteurs et créditeurs divers (PASSIF) - OHADA</t>
  </si>
  <si>
    <t>"471100 - Débiteurs divers - OHADA"</t>
  </si>
  <si>
    <t>Débiteurs divers</t>
  </si>
  <si>
    <t>471-Débiteurs et créditeurs divers - OHADA</t>
  </si>
  <si>
    <t>"471200 - Créditeurs divers - OHADA"</t>
  </si>
  <si>
    <t>Créditeurs divers</t>
  </si>
  <si>
    <t>471-Débiteurs et créditeurs divers - OHADA</t>
  </si>
  <si>
    <t>"471300 - Obligataires - OHADA"</t>
  </si>
  <si>
    <t>Obligataires</t>
  </si>
  <si>
    <t>471-Débiteurs et créditeurs divers - OHADA</t>
  </si>
  <si>
    <t>"471500 - Rémunérations d’administrateurs - OHADA"</t>
  </si>
  <si>
    <t>Rémunérations d’administrateurs</t>
  </si>
  <si>
    <t>471-Débiteurs et créditeurs divers - OHADA</t>
  </si>
  <si>
    <t>"471600 - Compte d’affacturage - OHADA"</t>
  </si>
  <si>
    <t>Compte d’affacturage</t>
  </si>
  <si>
    <t>471-Débiteurs et créditeurs divers - OHADA</t>
  </si>
  <si>
    <t>"471700 - Débiteurs divers retenues de garantie - OHADA"</t>
  </si>
  <si>
    <t>Débiteurs divers retenues de garantie</t>
  </si>
  <si>
    <t>471-Débiteurs et créditeurs divers - OHADA</t>
  </si>
  <si>
    <t>"471800 - Apport, compte de fusion et opérations assimilées - OHADA"</t>
  </si>
  <si>
    <t>Apport, compte de fusion et opérations assimilées</t>
  </si>
  <si>
    <t>471-Débiteurs et créditeurs divers - OHADA</t>
  </si>
  <si>
    <t>"471900 - Bons de souscription d’actions et d’obligations - OHADA"</t>
  </si>
  <si>
    <t>Bons de souscription d’actions et d’obligations</t>
  </si>
  <si>
    <t>471-Débiteurs et créditeurs divers - OHADA</t>
  </si>
  <si>
    <t>"474-Compte de répartition périodique des charges et des produits (PASSIF) - OHADA"</t>
  </si>
  <si>
    <t>474-Compte de répartition périodique des charges et des produits (PASSIF)</t>
  </si>
  <si>
    <t>47-Débiteurs et créditeurs divers (PASSIF) - OHADA</t>
  </si>
  <si>
    <t>"474600 - Compte de répartition périodique des charges - OHADA"</t>
  </si>
  <si>
    <t>Compte de répartition périodique des charges</t>
  </si>
  <si>
    <t>474-Compte de répartition périodique des charges et des produits (PASSIF) - OHADA</t>
  </si>
  <si>
    <t>"475-Compte transitoire, ajustement spécial lié à la révision du SYSCOHADA (PASSIF) - OHADA"</t>
  </si>
  <si>
    <t>475-Compte transitoire, ajustement spécial lié à la révision du SYSCOHADA (PASSIF)</t>
  </si>
  <si>
    <t>47-Débiteurs et créditeurs divers (PASSIF) - OHADA</t>
  </si>
  <si>
    <t>"475200 - Compte passif - OHADA"</t>
  </si>
  <si>
    <t>Compte passif</t>
  </si>
  <si>
    <t>475-Compte transitoire, ajustement spécial lié à la révision du SYSCOHADA (PASSIF) - OHADA</t>
  </si>
  <si>
    <t>"477000 - Produits constatés d’avance - OHADA"</t>
  </si>
  <si>
    <t>Produits constatés d’avance</t>
  </si>
  <si>
    <t>47-Débiteurs et créditeurs divers (PASSIF) - OHADA</t>
  </si>
  <si>
    <t>"479-Écarts de conversion passif - OHADA"</t>
  </si>
  <si>
    <t>479-Écarts de conversion passif</t>
  </si>
  <si>
    <t>47-Débiteurs et créditeurs divers (PASSIF) - OHADA</t>
  </si>
  <si>
    <t>"479100 - Augmentation des créances d’exploitation - OHADA"</t>
  </si>
  <si>
    <t>Augmentation des créances d’exploitation</t>
  </si>
  <si>
    <t>479-Écarts de conversion passif - OHADA</t>
  </si>
  <si>
    <t>"479200 - Augmentation des créances financières - OHADA"</t>
  </si>
  <si>
    <t>Augmentation des créances financières</t>
  </si>
  <si>
    <t>479-Écarts de conversion passif - OHADA</t>
  </si>
  <si>
    <t>"479300 - Diminution des dettes d’exploitation - OHADA"</t>
  </si>
  <si>
    <t>Diminution des dettes d’exploitation</t>
  </si>
  <si>
    <t>479-Écarts de conversion passif - OHADA</t>
  </si>
  <si>
    <t>"479400 - Diminution des dettes financières - OHADA"</t>
  </si>
  <si>
    <t>Diminution des dettes financières</t>
  </si>
  <si>
    <t>479-Écarts de conversion passif - OHADA</t>
  </si>
  <si>
    <t>"479700 - Différences d’évaluation sur instruments de trésorerie - OHADA"</t>
  </si>
  <si>
    <t>Différences d’évaluation sur instruments de trésorerie</t>
  </si>
  <si>
    <t>479-Écarts de conversion passif - OHADA</t>
  </si>
  <si>
    <t>"479800 - Différences compensées par couverture de change - OHADA"</t>
  </si>
  <si>
    <t>Différences compensées par couverture de change</t>
  </si>
  <si>
    <t>479-Écarts de conversion passif - OHADA</t>
  </si>
  <si>
    <t>"48-Créances et dettes hors activités ordinaires (HAO) (PASSIF) - OHADA"</t>
  </si>
  <si>
    <t>48-Créances et dettes hors activités ordinaires (HAO) (PASSIF)</t>
  </si>
  <si>
    <t>4-Comptes de Tiers (PASSIF) - OHADA</t>
  </si>
  <si>
    <t>"481000 - Fournisseurs d’investissements - OHADA"</t>
  </si>
  <si>
    <t>Fournisseurs d’investissements</t>
  </si>
  <si>
    <t>48-Créances et dettes hors activités ordinaires (HAO) (PASSIF) - OHADA</t>
  </si>
  <si>
    <t>"481100 - Immobilisations incorporelles - OHADA"</t>
  </si>
  <si>
    <t>Immobilisations incorporelles</t>
  </si>
  <si>
    <t>481000 - Fournisseurs d’investissements - OHADA</t>
  </si>
  <si>
    <t>"481200 - Immobilisations corporelles - OHADA"</t>
  </si>
  <si>
    <t>Immobilisations corporelles</t>
  </si>
  <si>
    <t>481000 - Fournisseurs d’investissements - OHADA</t>
  </si>
  <si>
    <t>"481300 - Versements restant à effectuer sur titres de participation et titres immobilisés non libérés - OHADA"</t>
  </si>
  <si>
    <t>Versements restant à effectuer sur titres de participation et titres immobilisés non libérés</t>
  </si>
  <si>
    <t>481000 - Fournisseurs d’investissements - OHADA</t>
  </si>
  <si>
    <t>"481600 - Réserve de propriété - OHADA"</t>
  </si>
  <si>
    <t>Réserve de propriété</t>
  </si>
  <si>
    <t>481000 - Fournisseurs d’investissements - OHADA</t>
  </si>
  <si>
    <t>"481700 - Retenues de garantie - OHADA"</t>
  </si>
  <si>
    <t>Retenues de garantie</t>
  </si>
  <si>
    <t>481000 - Fournisseurs d’investissements - OHADA</t>
  </si>
  <si>
    <t>"481800 - Factures non parvenues - OHADA"</t>
  </si>
  <si>
    <t>Factures non parvenues</t>
  </si>
  <si>
    <t>481000 - Fournisseurs d’investissements - OHADA</t>
  </si>
  <si>
    <t>"482000 - Fournisseurs d’investissements, effets à payer - OHADA"</t>
  </si>
  <si>
    <t>Fournisseurs d’investissements, effets à payer</t>
  </si>
  <si>
    <t>48-Créances et dettes hors activités ordinaires (HAO) (PASSIF) - OHADA</t>
  </si>
  <si>
    <t>"482100 - Immobilisations incorporelles - OHADA"</t>
  </si>
  <si>
    <t>Immobilisations incorporelles</t>
  </si>
  <si>
    <t>482000 - Fournisseurs d’investissements, effets à payer - OHADA</t>
  </si>
  <si>
    <t>"482200 - Immobilisations corporelles - OHADA"</t>
  </si>
  <si>
    <t>Immobilisations corporelles</t>
  </si>
  <si>
    <t>482000 - Fournisseurs d’investissements, effets à payer - OHADA</t>
  </si>
  <si>
    <t>"484000 - Autres dettes hors activités ordinaires (HAO) - OHADA"</t>
  </si>
  <si>
    <t>Autres dettes hors activités ordinaires (HAO)</t>
  </si>
  <si>
    <t>48-Créances et dettes hors activités ordinaires (HAO) (PASSIF) - OHADA</t>
  </si>
  <si>
    <t>"488700 - Produits - OHADA"</t>
  </si>
  <si>
    <t>Produits</t>
  </si>
  <si>
    <t>484000 - Autres dettes hors activités ordinaires (HAO) - OHADA</t>
  </si>
  <si>
    <t>"Duties and Taxes - OHADA"</t>
  </si>
  <si>
    <t>Duties and Taxes</t>
  </si>
  <si>
    <t>4-Comptes de Tiers (PASSIF) - OHADA</t>
  </si>
  <si>
    <t>Tax</t>
  </si>
  <si>
    <t>"VAT - OHADA"</t>
  </si>
  <si>
    <t>VAT</t>
  </si>
  <si>
    <t>Duties and Taxes - OHADA</t>
  </si>
  <si>
    <t>Tax</t>
  </si>
  <si>
    <t>"5 - Comptes de trésorerie - OHADA"</t>
  </si>
  <si>
    <t>Comptes de trésorerie</t>
  </si>
  <si>
    <t>"50 - Titres de placement - OHADA"</t>
  </si>
  <si>
    <t>Titres de placement</t>
  </si>
  <si>
    <t>5 - Comptes de trésorerie - OHADA</t>
  </si>
  <si>
    <t>"501000 - Titres du trésor et bons de caisse à court terme - OHADA"</t>
  </si>
  <si>
    <t>Titres du trésor et bons de caisse à court terme</t>
  </si>
  <si>
    <t>50 - Titres de placement - OHADA</t>
  </si>
  <si>
    <t>"501100 - Titres du Trésor à court terme - OHADA"</t>
  </si>
  <si>
    <t>Titres du Trésor à court terme</t>
  </si>
  <si>
    <t>501000 - Titres du trésor et bons de caisse à court terme - OHADA</t>
  </si>
  <si>
    <t>"501200 - Titres d’organismes financiers - OHADA"</t>
  </si>
  <si>
    <t>Titres d’organismes financiers</t>
  </si>
  <si>
    <t>501000 - Titres du trésor et bons de caisse à court terme - OHADA</t>
  </si>
  <si>
    <t>"501300 - Bons de caisse à court terme - OHADA"</t>
  </si>
  <si>
    <t>Bons de caisse à court terme</t>
  </si>
  <si>
    <t>501000 - Titres du trésor et bons de caisse à court terme - OHADA</t>
  </si>
  <si>
    <t>"501600 - Frais d’acquisition des titres de trésor et bons de caisse - OHADA"</t>
  </si>
  <si>
    <t>Frais d’acquisition des titres de trésor et bons de caisse</t>
  </si>
  <si>
    <t>501000 - Titres du trésor et bons de caisse à court terme - OHADA</t>
  </si>
  <si>
    <t>"502000 - Actions - OHADA"</t>
  </si>
  <si>
    <t>Actions</t>
  </si>
  <si>
    <t>50 - Titres de placement - OHADA</t>
  </si>
  <si>
    <t>"502100 - Actions ou parts propres - OHADA"</t>
  </si>
  <si>
    <t>Actions ou parts propres</t>
  </si>
  <si>
    <t>502000 - Actions - OHADA</t>
  </si>
  <si>
    <t>"502200 - Actions cotées - OHADA"</t>
  </si>
  <si>
    <t>Actions cotées</t>
  </si>
  <si>
    <t>502000 - Actions - OHADA</t>
  </si>
  <si>
    <t>"502300 - Actions non cotées - OHADA"</t>
  </si>
  <si>
    <t>Actions non cotées</t>
  </si>
  <si>
    <t>502000 - Actions - OHADA</t>
  </si>
  <si>
    <t>"502400 - Actions démembrées (certificats d’investissement, droits de vote) - OHADA"</t>
  </si>
  <si>
    <t>Actions démembrées (certificats d’investissement, droits de vote)</t>
  </si>
  <si>
    <t>502000 - Actions - OHADA</t>
  </si>
  <si>
    <t>"502500 - Autres actions - OHADA"</t>
  </si>
  <si>
    <t>Autres actions</t>
  </si>
  <si>
    <t>502000 - Actions - OHADA</t>
  </si>
  <si>
    <t>"502600 - Frais d’acquisition des actions - OHADA"</t>
  </si>
  <si>
    <t>Frais d’acquisition des actions</t>
  </si>
  <si>
    <t>502000 - Actions - OHADA</t>
  </si>
  <si>
    <t>"503000 - Obligations - OHADA"</t>
  </si>
  <si>
    <t>Obligations</t>
  </si>
  <si>
    <t>50 - Titres de placement - OHADA</t>
  </si>
  <si>
    <t>"503100 - Obligations émises par la société et rachetées par elle - OHADA"</t>
  </si>
  <si>
    <t>Obligations émises par la société et rachetées par elle</t>
  </si>
  <si>
    <t>503000 - Obligations - OHADA</t>
  </si>
  <si>
    <t>"503200 - Obligations cotées - OHADA"</t>
  </si>
  <si>
    <t>Obligations cotées</t>
  </si>
  <si>
    <t>503000 - Obligations - OHADA</t>
  </si>
  <si>
    <t>"503300 - Obligations non cotées - OHADA"</t>
  </si>
  <si>
    <t>Obligations non cotées</t>
  </si>
  <si>
    <t>503000 - Obligations - OHADA</t>
  </si>
  <si>
    <t>"503500 - Autres obligations - OHADA"</t>
  </si>
  <si>
    <t>Autres obligations</t>
  </si>
  <si>
    <t>503000 - Obligations - OHADA</t>
  </si>
  <si>
    <t>"503600 - Frais d’acquisition des obligations - OHADA"</t>
  </si>
  <si>
    <t>Frais d’acquisition des obligations</t>
  </si>
  <si>
    <t>503000 - Obligations - OHADA</t>
  </si>
  <si>
    <t>"504000 - Bons de souscription - OHADA"</t>
  </si>
  <si>
    <t>Bons de souscription</t>
  </si>
  <si>
    <t>50 - Titres de placement - OHADA</t>
  </si>
  <si>
    <t>"504200 - Bons de souscription d’actions - OHADA"</t>
  </si>
  <si>
    <t>Bons de souscription d’actions</t>
  </si>
  <si>
    <t>504000 - Bons de souscription - OHADA</t>
  </si>
  <si>
    <t>"504300 - Bons de souscription d’obligations - OHADA"</t>
  </si>
  <si>
    <t>Bons de souscription d’obligations</t>
  </si>
  <si>
    <t>504000 - Bons de souscription - OHADA</t>
  </si>
  <si>
    <t>"505000 - Titres négociables hors région - OHADA"</t>
  </si>
  <si>
    <t>Titres négociables hors région</t>
  </si>
  <si>
    <t>50 - Titres de placement - OHADA</t>
  </si>
  <si>
    <t>"506000 - Intérêts courus - OHADA"</t>
  </si>
  <si>
    <t>Intérêts courus</t>
  </si>
  <si>
    <t>50 - Titres de placement - OHADA</t>
  </si>
  <si>
    <t>"506100 - Titres du Trésor et bons de caisse à court terme - OHADA"</t>
  </si>
  <si>
    <t>Titres du Trésor et bons de caisse à court terme</t>
  </si>
  <si>
    <t>506000 - Intérêts courus - OHADA</t>
  </si>
  <si>
    <t>"506200 - Actions - OHADA"</t>
  </si>
  <si>
    <t>Actions</t>
  </si>
  <si>
    <t>506000 - Intérêts courus - OHADA</t>
  </si>
  <si>
    <t>"506300 - Obligations - OHADA"</t>
  </si>
  <si>
    <t>Obligations</t>
  </si>
  <si>
    <t>506000 - Intérêts courus - OHADA</t>
  </si>
  <si>
    <t>"508000 - Autres titres de placement et créances assimilées - OHADA"</t>
  </si>
  <si>
    <t>Autres titres de placement et créances assimilées</t>
  </si>
  <si>
    <t>50 - Titres de placement - OHADA</t>
  </si>
  <si>
    <t>"51 - Valeurs à encaisser - OHADA"</t>
  </si>
  <si>
    <t>Valeurs à encaisser</t>
  </si>
  <si>
    <t>5 - Comptes de trésorerie - OHADA</t>
  </si>
  <si>
    <t>"511000 - Effets à encaisser - OHADA"</t>
  </si>
  <si>
    <t>Effets à encaisser</t>
  </si>
  <si>
    <t>51 - Valeurs à encaisser - OHADA</t>
  </si>
  <si>
    <t>"512000 - Effets à l’encaissement - OHADA"</t>
  </si>
  <si>
    <t>Effets à l’encaissement</t>
  </si>
  <si>
    <t>51 - Valeurs à encaisser - OHADA</t>
  </si>
  <si>
    <t>"513000 - Chèques à encaisser - OHADA"</t>
  </si>
  <si>
    <t>Chèques à encaisser</t>
  </si>
  <si>
    <t>51 - Valeurs à encaisser - OHADA</t>
  </si>
  <si>
    <t>"514000 - Chèques à l’encaissement - OHADA"</t>
  </si>
  <si>
    <t>Chèques à l’encaissement</t>
  </si>
  <si>
    <t>51 - Valeurs à encaisser - OHADA</t>
  </si>
  <si>
    <t>"515000 - Cartes de crédit à encaisser - OHADA"</t>
  </si>
  <si>
    <t>Cartes de crédit à encaisser</t>
  </si>
  <si>
    <t>51 - Valeurs à encaisser - OHADA</t>
  </si>
  <si>
    <t>"518000 - Autres valeurs à l’encaissement - OHADA"</t>
  </si>
  <si>
    <t>Autres valeurs à l’encaissement</t>
  </si>
  <si>
    <t>51 - Valeurs à encaisser - OHADA</t>
  </si>
  <si>
    <t>"518100 - Warrants - OHADA"</t>
  </si>
  <si>
    <t>Warrants</t>
  </si>
  <si>
    <t>518000 - Autres valeurs à l’encaissement - OHADA</t>
  </si>
  <si>
    <t>"518200 - Billets de fonds - OHADA"</t>
  </si>
  <si>
    <t>Billets de fonds</t>
  </si>
  <si>
    <t>518000 - Autres valeurs à l’encaissement - OHADA</t>
  </si>
  <si>
    <t>"518500 - Chèques de voyage - OHADA"</t>
  </si>
  <si>
    <t>Chèques de voyage</t>
  </si>
  <si>
    <t>518000 - Autres valeurs à l’encaissement - OHADA</t>
  </si>
  <si>
    <t>"518600 - Coupons échus - OHADA"</t>
  </si>
  <si>
    <t>Coupons échus</t>
  </si>
  <si>
    <t>518000 - Autres valeurs à l’encaissement - OHADA</t>
  </si>
  <si>
    <t>"518700 - Intérêts échus des obligations - OHADA"</t>
  </si>
  <si>
    <t>Intérêts échus des obligations</t>
  </si>
  <si>
    <t>518000 - Autres valeurs à l’encaissement - OHADA</t>
  </si>
  <si>
    <t>"52 - Banques - OHADA"</t>
  </si>
  <si>
    <t>Banques</t>
  </si>
  <si>
    <t>5 - Comptes de trésorerie - OHADA</t>
  </si>
  <si>
    <t>"521000 - Banques locales - OHADA"</t>
  </si>
  <si>
    <t>Banques locales</t>
  </si>
  <si>
    <t>52 - Banques - OHADA</t>
  </si>
  <si>
    <t>Bank</t>
  </si>
  <si>
    <t>"521100 - Banques en monnaie nationale - OHADA"</t>
  </si>
  <si>
    <t>Banques en monnaie nationale</t>
  </si>
  <si>
    <t>521000 - Banques locales - OHADA</t>
  </si>
  <si>
    <t>Bank</t>
  </si>
  <si>
    <t>"521500 - Banques en devises - OHADA"</t>
  </si>
  <si>
    <t>Banques en devises</t>
  </si>
  <si>
    <t>521000 - Banques locales - OHADA</t>
  </si>
  <si>
    <t>Bank</t>
  </si>
  <si>
    <t>"522000 - Banques autres États région - OHADA"</t>
  </si>
  <si>
    <t>Banques autres États région</t>
  </si>
  <si>
    <t>52 - Banques - OHADA</t>
  </si>
  <si>
    <t>"523000 - Banques autres États zone monétaire - OHADA"</t>
  </si>
  <si>
    <t>Banques autres États zone monétaire</t>
  </si>
  <si>
    <t>52 - Banques - OHADA</t>
  </si>
  <si>
    <t>"524000 - Banques hors zone monétaire - OHADA"</t>
  </si>
  <si>
    <t>Banques hors zone monétaire</t>
  </si>
  <si>
    <t>52 - Banques - OHADA</t>
  </si>
  <si>
    <t>"525000 - Banques dépôt à terme - OHADA"</t>
  </si>
  <si>
    <t>Banques dépôt à terme</t>
  </si>
  <si>
    <t>52 - Banques - OHADA</t>
  </si>
  <si>
    <t>"526000 - Banques, intérêts courus - OHADA"</t>
  </si>
  <si>
    <t>Banques, intérêts courus</t>
  </si>
  <si>
    <t>52 - Banques - OHADA</t>
  </si>
  <si>
    <t>"526100 - Banque, intérêts courus, charges à payer - OHADA"</t>
  </si>
  <si>
    <t>Banque, intérêts courus, charges à payer</t>
  </si>
  <si>
    <t>526000 - Banques, intérêts courus - OHADA</t>
  </si>
  <si>
    <t>"526700 - Banque, intérêts courus, produits à recevoir - OHADA"</t>
  </si>
  <si>
    <t>Banque, intérêts courus, produits à recevoir</t>
  </si>
  <si>
    <t>526000 - Banques, intérêts courus - OHADA</t>
  </si>
  <si>
    <t>"53 - Établissements financiers et assimilés - OHADA"</t>
  </si>
  <si>
    <t>Établissements financiers et assimilés</t>
  </si>
  <si>
    <t>5 - Comptes de trésorerie - OHADA</t>
  </si>
  <si>
    <t>"531000 - Chèques postaux - OHADA"</t>
  </si>
  <si>
    <t>Chèques postaux</t>
  </si>
  <si>
    <t>53 - Établissements financiers et assimilés - OHADA</t>
  </si>
  <si>
    <t>"532000 - Trésor - OHADA"</t>
  </si>
  <si>
    <t>Trésor</t>
  </si>
  <si>
    <t>53 - Établissements financiers et assimilés - OHADA</t>
  </si>
  <si>
    <t>"533000 - Sociétés de gestion et d’intermédiation (SGI) - OHADA"</t>
  </si>
  <si>
    <t>Sociétés de gestion et d’intermédiation (SGI)</t>
  </si>
  <si>
    <t>53 - Établissements financiers et assimilés - OHADA</t>
  </si>
  <si>
    <t>"536000 - Établissements financiers, intérêts courus - OHADA"</t>
  </si>
  <si>
    <t>Établissements financiers, intérêts courus</t>
  </si>
  <si>
    <t>53 - Établissements financiers et assimilés - OHADA</t>
  </si>
  <si>
    <t>"538000 - Autres organismes financiers - OHADA"</t>
  </si>
  <si>
    <t>Autres organismes financiers</t>
  </si>
  <si>
    <t>53 - Établissements financiers et assimilés - OHADA</t>
  </si>
  <si>
    <t>"54 - Instruments de trésorerie - OHADA"</t>
  </si>
  <si>
    <t>Instruments de trésorerie</t>
  </si>
  <si>
    <t>5 - Comptes de trésorerie - OHADA</t>
  </si>
  <si>
    <t>"541000 - Options de taux d’intérêt - OHADA"</t>
  </si>
  <si>
    <t>Options de taux d’intérêt</t>
  </si>
  <si>
    <t>54 - Instruments de trésorerie - OHADA</t>
  </si>
  <si>
    <t>"542000 - Options de taux de change - OHADA"</t>
  </si>
  <si>
    <t>Options de taux de change</t>
  </si>
  <si>
    <t>54 - Instruments de trésorerie - OHADA</t>
  </si>
  <si>
    <t>"543000 - Options de taux boursiers - OHADA"</t>
  </si>
  <si>
    <t>Options de taux boursiers</t>
  </si>
  <si>
    <t>54 - Instruments de trésorerie - OHADA</t>
  </si>
  <si>
    <t>"544000 - Instruments de marchés à terme - OHADA"</t>
  </si>
  <si>
    <t>Instruments de marchés à terme</t>
  </si>
  <si>
    <t>54 - Instruments de trésorerie - OHADA</t>
  </si>
  <si>
    <t>"545000 - Avoirs d’or et autres métaux précieux - OHADA"</t>
  </si>
  <si>
    <t>Avoirs d’or et autres métaux précieux</t>
  </si>
  <si>
    <t>54 - Instruments de trésorerie - OHADA</t>
  </si>
  <si>
    <t>"55 - Instruments de monnaie électronique - OHADA"</t>
  </si>
  <si>
    <t>Instruments de monnaie électronique</t>
  </si>
  <si>
    <t>5 - Comptes de trésorerie - OHADA</t>
  </si>
  <si>
    <t>"551000 - Monnaie électronique carte carburant - OHADA"</t>
  </si>
  <si>
    <t>Monnaie électronique carte carburant</t>
  </si>
  <si>
    <t>55 - Instruments de monnaie électronique - OHADA</t>
  </si>
  <si>
    <t>"552000 - Monnaie électronique téléphone portable - OHADA"</t>
  </si>
  <si>
    <t>Monnaie électronique téléphone portable</t>
  </si>
  <si>
    <t>55 - Instruments de monnaie électronique - OHADA</t>
  </si>
  <si>
    <t>"553000 - Monnaie électronique carte péage - OHADA"</t>
  </si>
  <si>
    <t>Monnaie électronique carte péage</t>
  </si>
  <si>
    <t>55 - Instruments de monnaie électronique - OHADA</t>
  </si>
  <si>
    <t>"554000 - Porte-monnaie électronique - OHADA"</t>
  </si>
  <si>
    <t>Porte-monnaie électronique</t>
  </si>
  <si>
    <t>55 - Instruments de monnaie électronique - OHADA</t>
  </si>
  <si>
    <t>"558000 - Autres instruments de monnaies électroniques - OHADA"</t>
  </si>
  <si>
    <t>Autres instruments de monnaies électroniques</t>
  </si>
  <si>
    <t>55 - Instruments de monnaie électronique - OHADA</t>
  </si>
  <si>
    <t>"56 - Banques, crédits de trésorerie et d’escompte - OHADA"</t>
  </si>
  <si>
    <t>Banques, crédits de trésorerie et d’escompte</t>
  </si>
  <si>
    <t>5 - Comptes de trésorerie - OHADA</t>
  </si>
  <si>
    <t>"561000 - Crédits de trésorerie - OHADA"</t>
  </si>
  <si>
    <t>Crédits de trésorerie</t>
  </si>
  <si>
    <t>56 - Banques, crédits de trésorerie et d’escompte - OHADA</t>
  </si>
  <si>
    <t>"564000 - Escompte de crédits de campagne - OHADA"</t>
  </si>
  <si>
    <t>Escompte de crédits de campagne</t>
  </si>
  <si>
    <t>56 - Banques, crédits de trésorerie et d’escompte - OHADA</t>
  </si>
  <si>
    <t>"565000 - Escompte de crédits ordinaires - OHADA"</t>
  </si>
  <si>
    <t>Escompte de crédits ordinaires</t>
  </si>
  <si>
    <t>56 - Banques, crédits de trésorerie et d’escompte - OHADA</t>
  </si>
  <si>
    <t>"566000 - Banques, crédits de trésorerie, intérêts courus - OHADA"</t>
  </si>
  <si>
    <t>Banques, crédits de trésorerie, intérêts courus</t>
  </si>
  <si>
    <t>56 - Banques, crédits de trésorerie et d’escompte - OHADA</t>
  </si>
  <si>
    <t>"57 - Caisse - OHADA"</t>
  </si>
  <si>
    <t>Caisse</t>
  </si>
  <si>
    <t>5 - Comptes de trésorerie - OHADA</t>
  </si>
  <si>
    <t>"571000 - Caisse siège social - OHADA"</t>
  </si>
  <si>
    <t>Caisse siège social</t>
  </si>
  <si>
    <t>57 - Caisse - OHADA</t>
  </si>
  <si>
    <t>"571100 - Caisse en monnaie nationale - OHADA"</t>
  </si>
  <si>
    <t>Caisse en monnaie nationale</t>
  </si>
  <si>
    <t>571000 - Caisse siège social - OHADA</t>
  </si>
  <si>
    <t>"571200 - Caisse en devises - OHADA"</t>
  </si>
  <si>
    <t>Caisse en devises</t>
  </si>
  <si>
    <t>571000 - Caisse siège social - OHADA</t>
  </si>
  <si>
    <t>"572000 - Caisse succursale A - OHADA"</t>
  </si>
  <si>
    <t>Caisse succursale A</t>
  </si>
  <si>
    <t>57 - Caisse - OHADA</t>
  </si>
  <si>
    <t>"572100 - En monnaie nationale - OHADA"</t>
  </si>
  <si>
    <t>En monnaie nationale</t>
  </si>
  <si>
    <t>572000 - Caisse succursale A - OHADA</t>
  </si>
  <si>
    <t>"572200 - En devises - OHADA"</t>
  </si>
  <si>
    <t>En devises</t>
  </si>
  <si>
    <t>572000 - Caisse succursale A - OHADA</t>
  </si>
  <si>
    <t>"573000 - Caisse succursale B - OHADA"</t>
  </si>
  <si>
    <t>Caisse succursale B</t>
  </si>
  <si>
    <t>57 - Caisse - OHADA</t>
  </si>
  <si>
    <t>"573100 - En monnaie nationale - OHADA"</t>
  </si>
  <si>
    <t>En monnaie nationale</t>
  </si>
  <si>
    <t>573000 - Caisse succursale B - OHADA</t>
  </si>
  <si>
    <t>"573200 - En devises - OHADA"</t>
  </si>
  <si>
    <t>En devises</t>
  </si>
  <si>
    <t>573000 - Caisse succursale B - OHADA</t>
  </si>
  <si>
    <t>"58 - Régies d’avances, accréditifs et virements internes - OHADA"</t>
  </si>
  <si>
    <t>Régies d’avances, accréditifs et virements internes</t>
  </si>
  <si>
    <t>5 - Comptes de trésorerie - OHADA</t>
  </si>
  <si>
    <t>"581000 - Régies d’avance - OHADA"</t>
  </si>
  <si>
    <t>Régies d’avance</t>
  </si>
  <si>
    <t>58 - Régies d’avances, accréditifs et virements internes - OHADA</t>
  </si>
  <si>
    <t>"582000 - Accréditifs - OHADA"</t>
  </si>
  <si>
    <t>Accréditifs</t>
  </si>
  <si>
    <t>58 - Régies d’avances, accréditifs et virements internes - OHADA</t>
  </si>
  <si>
    <t>"585000 - Virements de fonds - OHADA"</t>
  </si>
  <si>
    <t>Virements de fonds</t>
  </si>
  <si>
    <t>58 - Régies d’avances, accréditifs et virements internes - OHADA</t>
  </si>
  <si>
    <t>"588000 - Autres virements internes - OHADA"</t>
  </si>
  <si>
    <t>Autres virements internes</t>
  </si>
  <si>
    <t>58 - Régies d’avances, accréditifs et virements internes - OHADA</t>
  </si>
  <si>
    <t>"59 - Dépréciations et provisions pour risque à court terme - OHADA"</t>
  </si>
  <si>
    <t>Dépréciations et provisions pour risque à court terme</t>
  </si>
  <si>
    <t>5 - Comptes de trésorerie - OHADA</t>
  </si>
  <si>
    <t>"590000 - Dépréciations des titres de placement - OHADA"</t>
  </si>
  <si>
    <t>Dépréciations des titres de placement</t>
  </si>
  <si>
    <t>59 - Dépréciations et provisions pour risque à court terme - OHADA</t>
  </si>
  <si>
    <t>"591000 - Dépréciations des titres et valeurs à encaisser - OHADA"</t>
  </si>
  <si>
    <t>Dépréciations des titres et valeurs à encaisser</t>
  </si>
  <si>
    <t>59 - Dépréciations et provisions pour risque à court terme - OHADA</t>
  </si>
  <si>
    <t>"592000 - Dépréciations des comptes banques - OHADA"</t>
  </si>
  <si>
    <t>Dépréciations des comptes banques</t>
  </si>
  <si>
    <t>59 - Dépréciations et provisions pour risque à court terme - OHADA</t>
  </si>
  <si>
    <t>"593000 - Dépréciations des comptes établissements financiers et assimilés - OHADA"</t>
  </si>
  <si>
    <t>Dépréciations des comptes établissements financiers et assimilés</t>
  </si>
  <si>
    <t>59 - Dépréciations et provisions pour risque à court terme - OHADA</t>
  </si>
  <si>
    <t>"594000 - Dépréciations des comptes d’instruments de trésorerie - OHADA"</t>
  </si>
  <si>
    <t>Dépréciations des comptes d’instruments de trésorerie</t>
  </si>
  <si>
    <t>59 - Dépréciations et provisions pour risque à court terme - OHADA</t>
  </si>
  <si>
    <t>"599000 - Provisions pour risque à court terme à caractère financier - OHADA"</t>
  </si>
  <si>
    <t>Provisions pour risque à court terme à caractère financier</t>
  </si>
  <si>
    <t>59 - Dépréciations et provisions pour risque à court terme - OHADA</t>
  </si>
  <si>
    <t>"6 - Comptes de charges des activités ordinaires - OHADA"</t>
  </si>
  <si>
    <t>Comptes de charges des activités ordinaires</t>
  </si>
  <si>
    <t>"60 - Achats et variations de stocks - OHADA"</t>
  </si>
  <si>
    <t>Achats et variations de stocks</t>
  </si>
  <si>
    <t>6 - Comptes de charges des activités ordinaires - OHADA</t>
  </si>
  <si>
    <t>"601000 - Achats de marchandises - OHADA"</t>
  </si>
  <si>
    <t>Achats de marchandises</t>
  </si>
  <si>
    <t>60 - Achats et variations de stocks - OHADA</t>
  </si>
  <si>
    <t>"601100 - Dans la Région - OHADA"</t>
  </si>
  <si>
    <t>Dans la Région</t>
  </si>
  <si>
    <t>601000 - Achats de marchandises - OHADA</t>
  </si>
  <si>
    <t>"601200 - Hors Région - OHADA"</t>
  </si>
  <si>
    <t>Hors Région</t>
  </si>
  <si>
    <t>601000 - Achats de marchandises - OHADA</t>
  </si>
  <si>
    <t>"601300 - Aux entités du groupe dans la Région - OHADA"</t>
  </si>
  <si>
    <t>Aux entités du groupe dans la Région</t>
  </si>
  <si>
    <t>601000 - Achats de marchandises - OHADA</t>
  </si>
  <si>
    <t>"601400 - Aux entités du groupe hors Région - OHADA"</t>
  </si>
  <si>
    <t>Aux entités du groupe hors Région</t>
  </si>
  <si>
    <t>601000 - Achats de marchandises - OHADA</t>
  </si>
  <si>
    <t>"601500 - Frais sur achats - OHADA"</t>
  </si>
  <si>
    <t>Frais sur achats</t>
  </si>
  <si>
    <t>601000 - Achats de marchandises - OHADA</t>
  </si>
  <si>
    <t>"601900 - Rabais, remises et ristournes obtenus (non ventilés) - OHADA"</t>
  </si>
  <si>
    <t>Rabais, remises et ristournes obtenus (non ventilés)</t>
  </si>
  <si>
    <t>601000 - Achats de marchandises - OHADA</t>
  </si>
  <si>
    <t>"602000 - Achats de matières premières et fournitures liées - OHADA"</t>
  </si>
  <si>
    <t>Achats de matières premières et fournitures liées</t>
  </si>
  <si>
    <t>60 - Achats et variations de stocks - OHADA</t>
  </si>
  <si>
    <t>"602100 - Dans la Région - OHADA"</t>
  </si>
  <si>
    <t>Dans la Région</t>
  </si>
  <si>
    <t>602000 - Achats de matières premières et fournitures liées - OHADA</t>
  </si>
  <si>
    <t>"602200 - Hors Région - OHADA"</t>
  </si>
  <si>
    <t>Hors Région</t>
  </si>
  <si>
    <t>602000 - Achats de matières premières et fournitures liées - OHADA</t>
  </si>
  <si>
    <t>"602300 - Aux entités du groupe dans la Région - OHADA"</t>
  </si>
  <si>
    <t>Aux entités du groupe dans la Région</t>
  </si>
  <si>
    <t>602000 - Achats de matières premières et fournitures liées - OHADA</t>
  </si>
  <si>
    <t>"602400 - Aux entités du groupe hors Région - OHADA"</t>
  </si>
  <si>
    <t>Aux entités du groupe hors Région</t>
  </si>
  <si>
    <t>602000 - Achats de matières premières et fournitures liées - OHADA</t>
  </si>
  <si>
    <t>"602500 - Frais sur achats - OHADA"</t>
  </si>
  <si>
    <t>Frais sur achats</t>
  </si>
  <si>
    <t>602000 - Achats de matières premières et fournitures liées - OHADA</t>
  </si>
  <si>
    <t>"602900 - Rabais, remises et ristournes obtenus (non ventilés) - OHADA"</t>
  </si>
  <si>
    <t>Rabais, remises et ristournes obtenus (non ventilés)</t>
  </si>
  <si>
    <t>602000 - Achats de matières premières et fournitures liées - OHADA</t>
  </si>
  <si>
    <t>"603000 - Variations des stocks de biens achetés - OHADA"</t>
  </si>
  <si>
    <t>Variations des stocks de biens achetés</t>
  </si>
  <si>
    <t>60 - Achats et variations de stocks - OHADA</t>
  </si>
  <si>
    <t>"603100 - Variations des stocks de marchandises - OHADA"</t>
  </si>
  <si>
    <t>Variations des stocks de marchandises</t>
  </si>
  <si>
    <t>603000 - Variations des stocks de biens achetés - OHADA</t>
  </si>
  <si>
    <t>"603200 - Variations des stocks de matières premières et fournitures liées - OHADA"</t>
  </si>
  <si>
    <t>Variations des stocks de matières premières et fournitures liées</t>
  </si>
  <si>
    <t>603000 - Variations des stocks de biens achetés - OHADA</t>
  </si>
  <si>
    <t>"603300 - Variations des stocks d’autres approvisionnements - OHADA"</t>
  </si>
  <si>
    <t>Variations des stocks d’autres approvisionnements</t>
  </si>
  <si>
    <t>603000 - Variations des stocks de biens achetés - OHADA</t>
  </si>
  <si>
    <t>"604000 - Achats stockés de matières et fournitures consommables - OHADA"</t>
  </si>
  <si>
    <t>Achats stockés de matières et fournitures consommables</t>
  </si>
  <si>
    <t>60 - Achats et variations de stocks - OHADA</t>
  </si>
  <si>
    <t>"604100 - Matières consommables - OHADA"</t>
  </si>
  <si>
    <t>Matières consommables</t>
  </si>
  <si>
    <t>604000 - Achats stockés de matières et fournitures consommables - OHADA</t>
  </si>
  <si>
    <t>"604200 - Matières combustibles - OHADA"</t>
  </si>
  <si>
    <t>Matières combustibles</t>
  </si>
  <si>
    <t>604000 - Achats stockés de matières et fournitures consommables - OHADA</t>
  </si>
  <si>
    <t>"604300 - Produits d’entretien - OHADA"</t>
  </si>
  <si>
    <t>Produits d’entretien</t>
  </si>
  <si>
    <t>604000 - Achats stockés de matières et fournitures consommables - OHADA</t>
  </si>
  <si>
    <t>"604400 - Fournitures d’atelier et d’usine - OHADA"</t>
  </si>
  <si>
    <t>Fournitures d’atelier et d’usine</t>
  </si>
  <si>
    <t>604000 - Achats stockés de matières et fournitures consommables - OHADA</t>
  </si>
  <si>
    <t>"604500 - Frais sur achat - OHADA"</t>
  </si>
  <si>
    <t>Frais sur achat</t>
  </si>
  <si>
    <t>604000 - Achats stockés de matières et fournitures consommables - OHADA</t>
  </si>
  <si>
    <t>"604600 - Fournitures de magasin - OHADA"</t>
  </si>
  <si>
    <t>Fournitures de magasin</t>
  </si>
  <si>
    <t>604000 - Achats stockés de matières et fournitures consommables - OHADA</t>
  </si>
  <si>
    <t>"604700 - Fournitures de bureau - OHADA"</t>
  </si>
  <si>
    <t>Fournitures de bureau</t>
  </si>
  <si>
    <t>604000 - Achats stockés de matières et fournitures consommables - OHADA</t>
  </si>
  <si>
    <t>"604900 - Rabais, remises et ristournes obtenus (non ventilés) - OHADA"</t>
  </si>
  <si>
    <t>Rabais, remises et ristournes obtenus (non ventilés)</t>
  </si>
  <si>
    <t>604000 - Achats stockés de matières et fournitures consommables - OHADA</t>
  </si>
  <si>
    <t>"605000 - Autres achats - OHADA"</t>
  </si>
  <si>
    <t>Autres achats</t>
  </si>
  <si>
    <t>60 - Achats et variations de stocks - OHADA</t>
  </si>
  <si>
    <t>"605100 - Fournitures non stockables Eau - OHADA"</t>
  </si>
  <si>
    <t>Fournitures non stockables Eau</t>
  </si>
  <si>
    <t>605000 - Autres achats - OHADA</t>
  </si>
  <si>
    <t>"605200 - Fournitures non stockables Électricité - OHADA"</t>
  </si>
  <si>
    <t>Fournitures non stockables Électricité</t>
  </si>
  <si>
    <t>605000 - Autres achats - OHADA</t>
  </si>
  <si>
    <t>"605300 - Fournitures non stockables Autres énergies - OHADA"</t>
  </si>
  <si>
    <t>Fournitures non stockables Autres énergies</t>
  </si>
  <si>
    <t>605000 - Autres achats - OHADA</t>
  </si>
  <si>
    <t>"605400 - Fournitures d’entretien non stockables - OHADA"</t>
  </si>
  <si>
    <t>Fournitures d’entretien non stockables</t>
  </si>
  <si>
    <t>605000 - Autres achats - OHADA</t>
  </si>
  <si>
    <t>"605500 - Fournitures de bureau non stockables - OHADA"</t>
  </si>
  <si>
    <t>Fournitures de bureau non stockables</t>
  </si>
  <si>
    <t>605000 - Autres achats - OHADA</t>
  </si>
  <si>
    <t>"605600 - Achats de petit matériel et outillage - OHADA"</t>
  </si>
  <si>
    <t>Achats de petit matériel et outillage</t>
  </si>
  <si>
    <t>605000 - Autres achats - OHADA</t>
  </si>
  <si>
    <t>"605700 - Achats d’études et prestations de services - OHADA"</t>
  </si>
  <si>
    <t>Achats d’études et prestations de services</t>
  </si>
  <si>
    <t>605000 - Autres achats - OHADA</t>
  </si>
  <si>
    <t>"605800 - Achats de travaux, matériels et équipements - OHADA"</t>
  </si>
  <si>
    <t>Achats de travaux, matériels et équipements</t>
  </si>
  <si>
    <t>605000 - Autres achats - OHADA</t>
  </si>
  <si>
    <t>"605900 - Rabais, remises et ristournes obtenus (non ventilés) - OHADA"</t>
  </si>
  <si>
    <t>Rabais, remises et ristournes obtenus (non ventilés)</t>
  </si>
  <si>
    <t>605000 - Autres achats - OHADA</t>
  </si>
  <si>
    <t>"608000 - Achats d’emballages - OHADA"</t>
  </si>
  <si>
    <t>Achats d’emballages</t>
  </si>
  <si>
    <t>60 - Achats et variations de stocks - OHADA</t>
  </si>
  <si>
    <t>"608100 - Emballages perdus - OHADA"</t>
  </si>
  <si>
    <t>Emballages perdus</t>
  </si>
  <si>
    <t>608000 - Achats d’emballages - OHADA</t>
  </si>
  <si>
    <t>"608200 - Emballages récupérables non identifiables - OHADA"</t>
  </si>
  <si>
    <t>Emballages récupérables non identifiables</t>
  </si>
  <si>
    <t>608000 - Achats d’emballages - OHADA</t>
  </si>
  <si>
    <t>"608300 - Emballages à usage mixte - OHADA"</t>
  </si>
  <si>
    <t>Emballages à usage mixte</t>
  </si>
  <si>
    <t>608000 - Achats d’emballages - OHADA</t>
  </si>
  <si>
    <t>"608500 - Frais sur achats - OHADA"</t>
  </si>
  <si>
    <t>Frais sur achats</t>
  </si>
  <si>
    <t>608000 - Achats d’emballages - OHADA</t>
  </si>
  <si>
    <t>"608900 - Rabais, remises et ristournes obtenus (non ventilés) - OHADA"</t>
  </si>
  <si>
    <t>Rabais, remises et ristournes obtenus (non ventilés)</t>
  </si>
  <si>
    <t>608000 - Achats d’emballages - OHADA</t>
  </si>
  <si>
    <t>"61 - Transports - OHADA"</t>
  </si>
  <si>
    <t>Transports</t>
  </si>
  <si>
    <t>6 - Comptes de charges des activités ordinaires - OHADA</t>
  </si>
  <si>
    <t>"612000 - Transports sur ventes - OHADA"</t>
  </si>
  <si>
    <t>Transports sur ventes</t>
  </si>
  <si>
    <t>61 - Transports - OHADA</t>
  </si>
  <si>
    <t>"613000 - Transports pour le compte de tiers - OHADA"</t>
  </si>
  <si>
    <t>Transports pour le compte de tiers</t>
  </si>
  <si>
    <t>61 - Transports - OHADA</t>
  </si>
  <si>
    <t>"614000 - Transports du personnel - OHADA"</t>
  </si>
  <si>
    <t>Transports du personnel</t>
  </si>
  <si>
    <t>61 - Transports - OHADA</t>
  </si>
  <si>
    <t>"616000 - Transports de plis - OHADA"</t>
  </si>
  <si>
    <t>Transports de plis</t>
  </si>
  <si>
    <t>61 - Transports - OHADA</t>
  </si>
  <si>
    <t>"618000 - Autres frais de transport - OHADA"</t>
  </si>
  <si>
    <t>Autres frais de transport</t>
  </si>
  <si>
    <t>61 - Transports - OHADA</t>
  </si>
  <si>
    <t>"618100 - Voyages et déplacements - OHADA"</t>
  </si>
  <si>
    <t>Voyages et déplacements</t>
  </si>
  <si>
    <t>618000 - Autres frais de transport - OHADA</t>
  </si>
  <si>
    <t>"618200 - Transports entre établissements ou chantiers - OHADA"</t>
  </si>
  <si>
    <t>Transports entre établissements ou chantiers</t>
  </si>
  <si>
    <t>618000 - Autres frais de transport - OHADA</t>
  </si>
  <si>
    <t>"618300 - Transports administratifs - OHADA"</t>
  </si>
  <si>
    <t>Transports administratifs</t>
  </si>
  <si>
    <t>618000 - Autres frais de transport - OHADA</t>
  </si>
  <si>
    <t>"62 - Services extérieurs - OHADA"</t>
  </si>
  <si>
    <t>Services extérieurs</t>
  </si>
  <si>
    <t>6 - Comptes de charges des activités ordinaires - OHADA</t>
  </si>
  <si>
    <t>"621000 - Sous-traitance générale - OHADA"</t>
  </si>
  <si>
    <t>Sous-traitance générale</t>
  </si>
  <si>
    <t>62 - Services extérieurs - OHADA</t>
  </si>
  <si>
    <t>"622000 - Locations, charges locatives - OHADA"</t>
  </si>
  <si>
    <t>Locations, charges locatives</t>
  </si>
  <si>
    <t>62 - Services extérieurs - OHADA</t>
  </si>
  <si>
    <t>"622100 - Locations de terrains - OHADA"</t>
  </si>
  <si>
    <t>Locations de terrains</t>
  </si>
  <si>
    <t>622000 - Locations, charges locatives - OHADA</t>
  </si>
  <si>
    <t>"622200 - Locations de bâtiments - OHADA"</t>
  </si>
  <si>
    <t>Locations de bâtiments</t>
  </si>
  <si>
    <t>622000 - Locations, charges locatives - OHADA</t>
  </si>
  <si>
    <t>"622300 - Locations de matériels et outillages - OHADA"</t>
  </si>
  <si>
    <t>Locations de matériels et outillages</t>
  </si>
  <si>
    <t>622000 - Locations, charges locatives - OHADA</t>
  </si>
  <si>
    <t>"622400 - Malis sur emballages - OHADA"</t>
  </si>
  <si>
    <t>Malis sur emballages</t>
  </si>
  <si>
    <t>622000 - Locations, charges locatives - OHADA</t>
  </si>
  <si>
    <t>"622500 - Locations d’emballages - OHADA"</t>
  </si>
  <si>
    <t>Locations d’emballages</t>
  </si>
  <si>
    <t>622000 - Locations, charges locatives - OHADA</t>
  </si>
  <si>
    <t>"622600 - Fermages et loyers du foncier - OHADA"</t>
  </si>
  <si>
    <t>Fermages et loyers du foncier</t>
  </si>
  <si>
    <t>622000 - Locations, charges locatives - OHADA</t>
  </si>
  <si>
    <t>"622800 - Locations et charges locatives diverses - OHADA"</t>
  </si>
  <si>
    <t>Locations et charges locatives diverses</t>
  </si>
  <si>
    <t>622000 - Locations, charges locatives - OHADA</t>
  </si>
  <si>
    <t>"623000 - Redevances de location acquisition - OHADA"</t>
  </si>
  <si>
    <t>Redevances de location acquisition</t>
  </si>
  <si>
    <t>62 - Services extérieurs - OHADA</t>
  </si>
  <si>
    <t>"623200 - Crédit-bail immobilier - OHADA"</t>
  </si>
  <si>
    <t>Crédit-bail immobilier</t>
  </si>
  <si>
    <t>623000 - Redevances de location acquisition - OHADA</t>
  </si>
  <si>
    <t>"623300 - Crédit-bail mobilier - OHADA"</t>
  </si>
  <si>
    <t>Crédit-bail mobilier</t>
  </si>
  <si>
    <t>623000 - Redevances de location acquisition - OHADA</t>
  </si>
  <si>
    <t>"623400 - Location-vente - OHADA"</t>
  </si>
  <si>
    <t>Location-vente</t>
  </si>
  <si>
    <t>623000 - Redevances de location acquisition - OHADA</t>
  </si>
  <si>
    <t>"623800 - Autres contrats de location acquisition - OHADA"</t>
  </si>
  <si>
    <t>Autres contrats de location acquisition</t>
  </si>
  <si>
    <t>623000 - Redevances de location acquisition - OHADA</t>
  </si>
  <si>
    <t>"624000 - Entretien, réparations, remise en état et maintenance - OHADA"</t>
  </si>
  <si>
    <t>Entretien, réparations, remise en état et maintenance</t>
  </si>
  <si>
    <t>62 - Services extérieurs - OHADA</t>
  </si>
  <si>
    <t>"624100 - Entretien et réparations des biens immobiliers - OHADA"</t>
  </si>
  <si>
    <t>Entretien et réparations des biens immobiliers</t>
  </si>
  <si>
    <t>624000 - Entretien, réparations, remise en état et maintenance - OHADA</t>
  </si>
  <si>
    <t>"624200 - Entretien et réparations des biens mobiliers - OHADA"</t>
  </si>
  <si>
    <t>Entretien et réparations des biens mobiliers</t>
  </si>
  <si>
    <t>624000 - Entretien, réparations, remise en état et maintenance - OHADA</t>
  </si>
  <si>
    <t>"624300 - Maintenance - OHADA"</t>
  </si>
  <si>
    <t>Maintenance</t>
  </si>
  <si>
    <t>624000 - Entretien, réparations, remise en état et maintenance - OHADA</t>
  </si>
  <si>
    <t>"624400 - Charges de démantèlement et remise en état - OHADA"</t>
  </si>
  <si>
    <t>Charges de démantèlement et remise en état</t>
  </si>
  <si>
    <t>624000 - Entretien, réparations, remise en état et maintenance - OHADA</t>
  </si>
  <si>
    <t>"624800 - Autres entretiens et réparations - OHADA"</t>
  </si>
  <si>
    <t>Autres entretiens et réparations</t>
  </si>
  <si>
    <t>624000 - Entretien, réparations, remise en état et maintenance - OHADA</t>
  </si>
  <si>
    <t>"625000 - Primes d’assurance - OHADA"</t>
  </si>
  <si>
    <t>Primes d’assurance</t>
  </si>
  <si>
    <t>62 - Services extérieurs - OHADA</t>
  </si>
  <si>
    <t>"625100 - Assurances multirisques - OHADA"</t>
  </si>
  <si>
    <t>Assurances multirisques</t>
  </si>
  <si>
    <t>625000 - Primes d’assurance - OHADA</t>
  </si>
  <si>
    <t>"625200 - Assurances matériel de transport - OHADA"</t>
  </si>
  <si>
    <t>Assurances matériel de transport</t>
  </si>
  <si>
    <t>625000 - Primes d’assurance - OHADA</t>
  </si>
  <si>
    <t>"625300 - Assurances risques d’exploitation - OHADA"</t>
  </si>
  <si>
    <t>Assurances risques d’exploitation</t>
  </si>
  <si>
    <t>625000 - Primes d’assurance - OHADA</t>
  </si>
  <si>
    <t>"625400 - Assurances responsabilité du producteur - OHADA"</t>
  </si>
  <si>
    <t>Assurances responsabilité du producteur</t>
  </si>
  <si>
    <t>625000 - Primes d’assurance - OHADA</t>
  </si>
  <si>
    <t>"625500 - Assurances insolvabilité clients - OHADA"</t>
  </si>
  <si>
    <t>Assurances insolvabilité clients</t>
  </si>
  <si>
    <t>625000 - Primes d’assurance - OHADA</t>
  </si>
  <si>
    <t>"625700 - Assurances transport sur ventes - OHADA"</t>
  </si>
  <si>
    <t>Assurances transport sur ventes</t>
  </si>
  <si>
    <t>625000 - Primes d’assurance - OHADA</t>
  </si>
  <si>
    <t>"625800 - Autres primes d’assurances - OHADA"</t>
  </si>
  <si>
    <t>Autres primes d’assurances</t>
  </si>
  <si>
    <t>625000 - Primes d’assurance - OHADA</t>
  </si>
  <si>
    <t>"626000 - Études, recherches et documentation - OHADA"</t>
  </si>
  <si>
    <t>Études, recherches et documentation</t>
  </si>
  <si>
    <t>62 - Services extérieurs - OHADA</t>
  </si>
  <si>
    <t>"626100 - Études et recherches - OHADA"</t>
  </si>
  <si>
    <t>Études et recherches</t>
  </si>
  <si>
    <t>626000 - Études, recherches et documentation - OHADA</t>
  </si>
  <si>
    <t>"626500 - Documentation générale - OHADA"</t>
  </si>
  <si>
    <t>Documentation générale</t>
  </si>
  <si>
    <t>626000 - Études, recherches et documentation - OHADA</t>
  </si>
  <si>
    <t>"626600 - Documentation technique - OHADA"</t>
  </si>
  <si>
    <t>Documentation technique</t>
  </si>
  <si>
    <t>626000 - Études, recherches et documentation - OHADA</t>
  </si>
  <si>
    <t>"627000 - Publicité, publications, relations publiques - OHADA"</t>
  </si>
  <si>
    <t>Publicité, publications, relations publiques</t>
  </si>
  <si>
    <t>62 - Services extérieurs - OHADA</t>
  </si>
  <si>
    <t>"627100 - Annonces, insertions - OHADA"</t>
  </si>
  <si>
    <t>Annonces, insertions</t>
  </si>
  <si>
    <t>627000 - Publicité, publications, relations publiques - OHADA</t>
  </si>
  <si>
    <t>"627200 - Catalogues, imprimés publicitaires - OHADA"</t>
  </si>
  <si>
    <t>Catalogues, imprimés publicitaires</t>
  </si>
  <si>
    <t>627000 - Publicité, publications, relations publiques - OHADA</t>
  </si>
  <si>
    <t>"627300 - Échantillons - OHADA"</t>
  </si>
  <si>
    <t>Échantillons</t>
  </si>
  <si>
    <t>627000 - Publicité, publications, relations publiques - OHADA</t>
  </si>
  <si>
    <t>"627400 - Foires et expositions - OHADA"</t>
  </si>
  <si>
    <t>Foires et expositions</t>
  </si>
  <si>
    <t>627000 - Publicité, publications, relations publiques - OHADA</t>
  </si>
  <si>
    <t>"627500 - Publications - OHADA"</t>
  </si>
  <si>
    <t>Publications</t>
  </si>
  <si>
    <t>627000 - Publicité, publications, relations publiques - OHADA</t>
  </si>
  <si>
    <t>"627600 - Cadeaux à la clientèle - OHADA"</t>
  </si>
  <si>
    <t>Cadeaux à la clientèle</t>
  </si>
  <si>
    <t>627000 - Publicité, publications, relations publiques - OHADA</t>
  </si>
  <si>
    <t>"627700 - Frais de colloques, séminaires, conférences - OHADA"</t>
  </si>
  <si>
    <t>Frais de colloques, séminaires, conférences</t>
  </si>
  <si>
    <t>627000 - Publicité, publications, relations publiques - OHADA</t>
  </si>
  <si>
    <t>"627800 - Autres charges de publicité et relations publiques - OHADA"</t>
  </si>
  <si>
    <t>Autres charges de publicité et relations publiques</t>
  </si>
  <si>
    <t>627000 - Publicité, publications, relations publiques - OHADA</t>
  </si>
  <si>
    <t>"628000 - Frais de télécommunications - OHADA"</t>
  </si>
  <si>
    <t>Frais de télécommunications</t>
  </si>
  <si>
    <t>62 - Services extérieurs - OHADA</t>
  </si>
  <si>
    <t>"628100 - Frais de téléphone - OHADA"</t>
  </si>
  <si>
    <t>Frais de téléphone</t>
  </si>
  <si>
    <t>628000 - Frais de télécommunications - OHADA</t>
  </si>
  <si>
    <t>"628200 - Frais de télex - OHADA"</t>
  </si>
  <si>
    <t>Frais de télex</t>
  </si>
  <si>
    <t>628000 - Frais de télécommunications - OHADA</t>
  </si>
  <si>
    <t>"628300 - Frais de télécopie - OHADA"</t>
  </si>
  <si>
    <t>Frais de télécopie</t>
  </si>
  <si>
    <t>628000 - Frais de télécommunications - OHADA</t>
  </si>
  <si>
    <t>"628800 - Autres frais de télécommunications - OHADA"</t>
  </si>
  <si>
    <t>Autres frais de télécommunications</t>
  </si>
  <si>
    <t>628000 - Frais de télécommunications - OHADA</t>
  </si>
  <si>
    <t>"63 - Autres services extérieurs - OHADA"</t>
  </si>
  <si>
    <t>Autres services extérieurs</t>
  </si>
  <si>
    <t>6 - Comptes de charges des activités ordinaires - OHADA</t>
  </si>
  <si>
    <t>"631000 - Frais bancaires - OHADA"</t>
  </si>
  <si>
    <t>Frais bancaires</t>
  </si>
  <si>
    <t>63 - Autres services extérieurs - OHADA</t>
  </si>
  <si>
    <t>"631100 - Frais sur titres (vente, garde) - OHADA"</t>
  </si>
  <si>
    <t>Frais sur titres (vente, garde)</t>
  </si>
  <si>
    <t>631000 - Frais bancaires - OHADA</t>
  </si>
  <si>
    <t>"631200 - Frais sur effets - OHADA"</t>
  </si>
  <si>
    <t>Frais sur effets</t>
  </si>
  <si>
    <t>631000 - Frais bancaires - OHADA</t>
  </si>
  <si>
    <t>"631300 - Location de coffres - OHADA"</t>
  </si>
  <si>
    <t>Location de coffres</t>
  </si>
  <si>
    <t>631000 - Frais bancaires - OHADA</t>
  </si>
  <si>
    <t>"631400 - Commissions d’affacturage - OHADA"</t>
  </si>
  <si>
    <t>Commissions d’affacturage</t>
  </si>
  <si>
    <t>631000 - Frais bancaires - OHADA</t>
  </si>
  <si>
    <t>"631500 - Commissions sur cartes de crédit - OHADA"</t>
  </si>
  <si>
    <t>Commissions sur cartes de crédit</t>
  </si>
  <si>
    <t>631000 - Frais bancaires - OHADA</t>
  </si>
  <si>
    <t>"631600 - Frais d’émission d’emprunts - OHADA"</t>
  </si>
  <si>
    <t>Frais d’émission d’emprunts</t>
  </si>
  <si>
    <t>631000 - Frais bancaires - OHADA</t>
  </si>
  <si>
    <t>"631700 - Frais sur instruments monnaie électronique - OHADA"</t>
  </si>
  <si>
    <t>Frais sur instruments monnaie électronique</t>
  </si>
  <si>
    <t>631000 - Frais bancaires - OHADA</t>
  </si>
  <si>
    <t>"631800 - Autres frais bancaires - OHADA"</t>
  </si>
  <si>
    <t>Autres frais bancaires</t>
  </si>
  <si>
    <t>631000 - Frais bancaires - OHADA</t>
  </si>
  <si>
    <t>"632000 - Rémunérations d’intermédiaires et de conseils - OHADA"</t>
  </si>
  <si>
    <t>Rémunérations d’intermédiaires et de conseils</t>
  </si>
  <si>
    <t>63 - Autres services extérieurs - OHADA</t>
  </si>
  <si>
    <t>"632200 - Commissions et courtages sur ventes - OHADA"</t>
  </si>
  <si>
    <t>Commissions et courtages sur ventes</t>
  </si>
  <si>
    <t>632000 - Rémunérations d’intermédiaires et de conseils - OHADA</t>
  </si>
  <si>
    <t>"632400 - Honoraires des professions réglementées - OHADA"</t>
  </si>
  <si>
    <t>Honoraires des professions réglementées</t>
  </si>
  <si>
    <t>632000 - Rémunérations d’intermédiaires et de conseils - OHADA</t>
  </si>
  <si>
    <t>"632500 - Frais d’actes et de contentieux - OHADA"</t>
  </si>
  <si>
    <t>Frais d’actes et de contentieux</t>
  </si>
  <si>
    <t>632000 - Rémunérations d’intermédiaires et de conseils - OHADA</t>
  </si>
  <si>
    <t>"632600 - Rémunérations d’affacturage - OHADA"</t>
  </si>
  <si>
    <t>Rémunérations d’affacturage</t>
  </si>
  <si>
    <t>632000 - Rémunérations d’intermédiaires et de conseils - OHADA</t>
  </si>
  <si>
    <t>"632700 - Rémunérations des autres prestataires de services - OHADA"</t>
  </si>
  <si>
    <t>Rémunérations des autres prestataires de services</t>
  </si>
  <si>
    <t>632000 - Rémunérations d’intermédiaires et de conseils - OHADA</t>
  </si>
  <si>
    <t>"632800 - Divers frais - OHADA"</t>
  </si>
  <si>
    <t>Divers frais</t>
  </si>
  <si>
    <t>632000 - Rémunérations d’intermédiaires et de conseils - OHADA</t>
  </si>
  <si>
    <t>"633000 - Frais de formation du personnel - OHADA"</t>
  </si>
  <si>
    <t>Frais de formation du personnel</t>
  </si>
  <si>
    <t>63 - Autres services extérieurs - OHADA</t>
  </si>
  <si>
    <t>"634000 - Redevances pour brevets, licences, logiciels, concessions et droits et valeurs similaires - OHADA"</t>
  </si>
  <si>
    <t>Redevances pour brevets, licences, logiciels, concessions et droits et valeurs similaires</t>
  </si>
  <si>
    <t>63 - Autres services extérieurs - OHADA</t>
  </si>
  <si>
    <t>"634200 - Redevances pour brevets, licences - OHADA"</t>
  </si>
  <si>
    <t>Redevances pour brevets, licences</t>
  </si>
  <si>
    <t>634000 - Redevances pour brevets, licences, logiciels, concessions et droits et valeurs similaires - OHADA</t>
  </si>
  <si>
    <t>"634300 - Redevances pour logiciels - OHADA"</t>
  </si>
  <si>
    <t>Redevances pour logiciels</t>
  </si>
  <si>
    <t>634000 - Redevances pour brevets, licences, logiciels, concessions et droits et valeurs similaires - OHADA</t>
  </si>
  <si>
    <t>"634400 - Redevances pour marques - OHADA"</t>
  </si>
  <si>
    <t>Redevances pour marques</t>
  </si>
  <si>
    <t>634000 - Redevances pour brevets, licences, logiciels, concessions et droits et valeurs similaires - OHADA</t>
  </si>
  <si>
    <t>"634500 - Redevances pour sites internet - OHADA"</t>
  </si>
  <si>
    <t>Redevances pour sites internet</t>
  </si>
  <si>
    <t>634000 - Redevances pour brevets, licences, logiciels, concessions et droits et valeurs similaires - OHADA</t>
  </si>
  <si>
    <t>"634600 - Redevances pour concessions, droits et valeurs similaires - OHADA"</t>
  </si>
  <si>
    <t>Redevances pour concessions, droits et valeurs similaires</t>
  </si>
  <si>
    <t>634000 - Redevances pour brevets, licences, logiciels, concessions et droits et valeurs similaires - OHADA</t>
  </si>
  <si>
    <t>"635000 - Cotisations - OHADA"</t>
  </si>
  <si>
    <t>Cotisations</t>
  </si>
  <si>
    <t>63 - Autres services extérieurs - OHADA</t>
  </si>
  <si>
    <t>"635100 - Cotisations - OHADA"</t>
  </si>
  <si>
    <t>Cotisations</t>
  </si>
  <si>
    <t>635000 - Cotisations - OHADA</t>
  </si>
  <si>
    <t>"635800 - Concours divers - OHADA"</t>
  </si>
  <si>
    <t>Concours divers</t>
  </si>
  <si>
    <t>635000 - Cotisations - OHADA</t>
  </si>
  <si>
    <t>"637000 - Rémunérations de personnel extérieur à l’entité - OHADA"</t>
  </si>
  <si>
    <t>Rémunérations de personnel extérieur à l’entité</t>
  </si>
  <si>
    <t>63 - Autres services extérieurs - OHADA</t>
  </si>
  <si>
    <t>"637100 - Personnel intérimaire - OHADA"</t>
  </si>
  <si>
    <t>Personnel intérimaire</t>
  </si>
  <si>
    <t>637000 - Rémunérations de personnel extérieur à l’entité - OHADA</t>
  </si>
  <si>
    <t>"637200 - Personnel détaché ou prêté à l’entité - OHADA"</t>
  </si>
  <si>
    <t>Personnel détaché ou prêté à l’entité</t>
  </si>
  <si>
    <t>637000 - Rémunérations de personnel extérieur à l’entité - OHADA</t>
  </si>
  <si>
    <t>"638000 - Autres charges externes - OHADA"</t>
  </si>
  <si>
    <t>Autres charges externes</t>
  </si>
  <si>
    <t>63 - Autres services extérieurs - OHADA</t>
  </si>
  <si>
    <t>"638100 - Frais de recrutement du personnel - OHADA"</t>
  </si>
  <si>
    <t>Frais de recrutement du personnel</t>
  </si>
  <si>
    <t>638000 - Autres charges externes - OHADA</t>
  </si>
  <si>
    <t>"638200 - Frais de déménagement - OHADA"</t>
  </si>
  <si>
    <t>Frais de déménagement</t>
  </si>
  <si>
    <t>638000 - Autres charges externes - OHADA</t>
  </si>
  <si>
    <t>"638300 - Réceptions - OHADA"</t>
  </si>
  <si>
    <t>Réceptions</t>
  </si>
  <si>
    <t>638000 - Autres charges externes - OHADA</t>
  </si>
  <si>
    <t>"638400 - Missions - OHADA"</t>
  </si>
  <si>
    <t>Missions</t>
  </si>
  <si>
    <t>638000 - Autres charges externes - OHADA</t>
  </si>
  <si>
    <t>"638500 - Charges de copropriété - OHADA"</t>
  </si>
  <si>
    <t>Charges de copropriété</t>
  </si>
  <si>
    <t>638000 - Autres charges externes - OHADA</t>
  </si>
  <si>
    <t>"64 - Impôts et taxes - OHADA"</t>
  </si>
  <si>
    <t>Impôts et taxes</t>
  </si>
  <si>
    <t>6 - Comptes de charges des activités ordinaires - OHADA</t>
  </si>
  <si>
    <t>"641000 - Impôts et taxes directs - OHADA"</t>
  </si>
  <si>
    <t>Impôts et taxes directs</t>
  </si>
  <si>
    <t>64 - Impôts et taxes - OHADA</t>
  </si>
  <si>
    <t>"641100 - Impôts fonciers et taxes annexes - OHADA"</t>
  </si>
  <si>
    <t>Impôts fonciers et taxes annexes</t>
  </si>
  <si>
    <t>641000 - Impôts et taxes directs - OHADA</t>
  </si>
  <si>
    <t>"641200 - Patentes, licences et taxes annexes - OHADA"</t>
  </si>
  <si>
    <t>Patentes, licences et taxes annexes</t>
  </si>
  <si>
    <t>641000 - Impôts et taxes directs - OHADA</t>
  </si>
  <si>
    <t>"641300 - Taxes sur appointements et salaires - OHADA"</t>
  </si>
  <si>
    <t>Taxes sur appointements et salaires</t>
  </si>
  <si>
    <t>641000 - Impôts et taxes directs - OHADA</t>
  </si>
  <si>
    <t>"641400 - Taxes d’apprentissage - OHADA"</t>
  </si>
  <si>
    <t>Taxes d’apprentissage</t>
  </si>
  <si>
    <t>641000 - Impôts et taxes directs - OHADA</t>
  </si>
  <si>
    <t>"641500 - Formation professionnelle continue - OHADA"</t>
  </si>
  <si>
    <t>Formation professionnelle continue</t>
  </si>
  <si>
    <t>641000 - Impôts et taxes directs - OHADA</t>
  </si>
  <si>
    <t>"641800 - Autres impôts et taxes directs - OHADA"</t>
  </si>
  <si>
    <t>Autres impôts et taxes directs</t>
  </si>
  <si>
    <t>641000 - Impôts et taxes directs - OHADA</t>
  </si>
  <si>
    <t>"645000 - Impôts et taxes indirects - OHADA"</t>
  </si>
  <si>
    <t>Impôts et taxes indirects</t>
  </si>
  <si>
    <t>64 - Impôts et taxes - OHADA</t>
  </si>
  <si>
    <t>"646000 - Droits d’enregistrement - OHADA"</t>
  </si>
  <si>
    <t>Droits d’enregistrement</t>
  </si>
  <si>
    <t>64 - Impôts et taxes - OHADA</t>
  </si>
  <si>
    <t>"646100 - Droits de mutation - OHADA"</t>
  </si>
  <si>
    <t>Droits de mutation</t>
  </si>
  <si>
    <t>646000 - Droits d’enregistrement - OHADA</t>
  </si>
  <si>
    <t>"646200 - Droits de timbre - OHADA"</t>
  </si>
  <si>
    <t>Droits de timbre</t>
  </si>
  <si>
    <t>646000 - Droits d’enregistrement - OHADA</t>
  </si>
  <si>
    <t>"646300 - Taxes sur les véhicules de société - OHADA"</t>
  </si>
  <si>
    <t>Taxes sur les véhicules de société</t>
  </si>
  <si>
    <t>646000 - Droits d’enregistrement - OHADA</t>
  </si>
  <si>
    <t>"646400 - Vignettes - OHADA"</t>
  </si>
  <si>
    <t>Vignettes</t>
  </si>
  <si>
    <t>646000 - Droits d’enregistrement - OHADA</t>
  </si>
  <si>
    <t>"646800 - Autres droits - OHADA"</t>
  </si>
  <si>
    <t>Autres droits</t>
  </si>
  <si>
    <t>646000 - Droits d’enregistrement - OHADA</t>
  </si>
  <si>
    <t>"647000 - Pénalités, amendes fiscales - OHADA"</t>
  </si>
  <si>
    <t>Pénalités, amendes fiscales</t>
  </si>
  <si>
    <t>64 - Impôts et taxes - OHADA</t>
  </si>
  <si>
    <t>"647100 - Pénalités d’assiette, impôts directs - OHADA"</t>
  </si>
  <si>
    <t>Pénalités d’assiette, impôts directs</t>
  </si>
  <si>
    <t>647000 - Pénalités, amendes fiscales - OHADA</t>
  </si>
  <si>
    <t>"647200 - Pénalités d’assiette, impôts indirects - OHADA"</t>
  </si>
  <si>
    <t>Pénalités d’assiette, impôts indirects</t>
  </si>
  <si>
    <t>647000 - Pénalités, amendes fiscales - OHADA</t>
  </si>
  <si>
    <t>"647300 - Pénalités de recouvrement, impôts directs - OHADA"</t>
  </si>
  <si>
    <t>Pénalités de recouvrement, impôts directs</t>
  </si>
  <si>
    <t>647000 - Pénalités, amendes fiscales - OHADA</t>
  </si>
  <si>
    <t>"647400 - Pénalités de recouvrement, impôts indirects - OHADA"</t>
  </si>
  <si>
    <t>Pénalités de recouvrement, impôts indirects</t>
  </si>
  <si>
    <t>647000 - Pénalités, amendes fiscales - OHADA</t>
  </si>
  <si>
    <t>"647800 - Autres pénalités et amendes fiscales - OHADA"</t>
  </si>
  <si>
    <t>Autres pénalités et amendes fiscales</t>
  </si>
  <si>
    <t>647000 - Pénalités, amendes fiscales - OHADA</t>
  </si>
  <si>
    <t>"648000 - Autres impôts et taxes - OHADA"</t>
  </si>
  <si>
    <t>Autres impôts et taxes</t>
  </si>
  <si>
    <t>64 - Impôts et taxes - OHADA</t>
  </si>
  <si>
    <t>"65 - Autres charges - OHADA"</t>
  </si>
  <si>
    <t>Autres charges</t>
  </si>
  <si>
    <t>6 - Comptes de charges des activités ordinaires - OHADA</t>
  </si>
  <si>
    <t>"651000 - Pertes sur créances clients et autres débiteurs - OHADA"</t>
  </si>
  <si>
    <t>Pertes sur créances clients et autres débiteurs</t>
  </si>
  <si>
    <t>65 - Autres charges - OHADA</t>
  </si>
  <si>
    <t>"651100 - Clients - OHADA"</t>
  </si>
  <si>
    <t>Clients</t>
  </si>
  <si>
    <t>651000 - Pertes sur créances clients et autres débiteurs - OHADA</t>
  </si>
  <si>
    <t>"651500 - Autres débiteurs - OHADA"</t>
  </si>
  <si>
    <t>Autres débiteurs</t>
  </si>
  <si>
    <t>651000 - Pertes sur créances clients et autres débiteurs - OHADA</t>
  </si>
  <si>
    <t>"652000 - Quote-part de résultat sur opérations faites en commun - OHADA"</t>
  </si>
  <si>
    <t>Quote-part de résultat sur opérations faites en commun</t>
  </si>
  <si>
    <t>65 - Autres charges - OHADA</t>
  </si>
  <si>
    <t>"652100 - Quote-part transférée de bénéfices (comptabilité du gérant) - OHADA"</t>
  </si>
  <si>
    <t>Quote-part transférée de bénéfices (comptabilité du gérant)</t>
  </si>
  <si>
    <t>652000 - Quote-part de résultat sur opérations faites en commun - OHADA</t>
  </si>
  <si>
    <t>"652500 - Pertes imputées par transfert (comptabilité des associés non gérants) - OHADA"</t>
  </si>
  <si>
    <t>Pertes imputées par transfert (comptabilité des associés non gérants)</t>
  </si>
  <si>
    <t>652000 - Quote-part de résultat sur opérations faites en commun - OHADA</t>
  </si>
  <si>
    <t>"654000 - Valeurs comptables des cessions courantes d’immobilisations - OHADA"</t>
  </si>
  <si>
    <t>Valeurs comptables des cessions courantes d’immobilisations</t>
  </si>
  <si>
    <t>65 - Autres charges - OHADA</t>
  </si>
  <si>
    <t>"654100 - Immobilisations incorporelles - OHADA"</t>
  </si>
  <si>
    <t>Immobilisations incorporelles</t>
  </si>
  <si>
    <t>654000 - Valeurs comptables des cessions courantes d’immobilisations - OHADA</t>
  </si>
  <si>
    <t>"654200 - Immobilisations corporelles - OHADA"</t>
  </si>
  <si>
    <t>Immobilisations corporelles</t>
  </si>
  <si>
    <t>654000 - Valeurs comptables des cessions courantes d’immobilisations - OHADA</t>
  </si>
  <si>
    <t>"656000 - Perte de change sur créances et dettes commerciale - OHADA"</t>
  </si>
  <si>
    <t>Perte de change sur créances et dettes commerciale</t>
  </si>
  <si>
    <t>65 - Autres charges - OHADA</t>
  </si>
  <si>
    <t>"657000 - Pénalités et amendes pénales - OHADA"</t>
  </si>
  <si>
    <t>Pénalités et amendes pénales</t>
  </si>
  <si>
    <t>65 - Autres charges - OHADA</t>
  </si>
  <si>
    <t>"658000 - Charges diverses - OHADA"</t>
  </si>
  <si>
    <t>Charges diverses</t>
  </si>
  <si>
    <t>65 - Autres charges - OHADA</t>
  </si>
  <si>
    <t>"658100 - Indemnités de fonction et autres rémunérations d’administrateurs - OHADA"</t>
  </si>
  <si>
    <t>Indemnités de fonction et autres rémunérations d’administrateurs</t>
  </si>
  <si>
    <t>658000 - Charges diverses - OHADA</t>
  </si>
  <si>
    <t>"658200 - Dons - OHADA"</t>
  </si>
  <si>
    <t>Dons</t>
  </si>
  <si>
    <t>658000 - Charges diverses - OHADA</t>
  </si>
  <si>
    <t>"658300 - Mécénat - OHADA"</t>
  </si>
  <si>
    <t>Mécénat</t>
  </si>
  <si>
    <t>658000 - Charges diverses - OHADA</t>
  </si>
  <si>
    <t>"658800 - Autres charges diverses - OHADA"</t>
  </si>
  <si>
    <t>Autres charges diverses</t>
  </si>
  <si>
    <t>658000 - Charges diverses - OHADA</t>
  </si>
  <si>
    <t>"659000 - Charges pour dépréciations et provisions pour risques à court terme d’exploitation - OHADA"</t>
  </si>
  <si>
    <t>Charges pour dépréciations et provisions pour risques à court terme d’exploitation</t>
  </si>
  <si>
    <t>65 - Autres charges - OHADA</t>
  </si>
  <si>
    <t>"659100 - Sur risques à court terme - OHADA"</t>
  </si>
  <si>
    <t>Sur risques à court terme</t>
  </si>
  <si>
    <t>659000 - Charges pour dépréciations et provisions pour risques à court terme d’exploitation - OHADA</t>
  </si>
  <si>
    <t>"659300 - Sur stocks - OHADA"</t>
  </si>
  <si>
    <t>Sur stocks</t>
  </si>
  <si>
    <t>659000 - Charges pour dépréciations et provisions pour risques à court terme d’exploitation - OHADA</t>
  </si>
  <si>
    <t>"659400 - Sur créances - OHADA"</t>
  </si>
  <si>
    <t>Sur créances</t>
  </si>
  <si>
    <t>659000 - Charges pour dépréciations et provisions pour risques à court terme d’exploitation - OHADA</t>
  </si>
  <si>
    <t>"659800 - Autres charges pour dépréciations et provisions pour risques à court terme - OHADA"</t>
  </si>
  <si>
    <t>Autres charges pour dépréciations et provisions pour risques à court terme</t>
  </si>
  <si>
    <t>659000 - Charges pour dépréciations et provisions pour risques à court terme d’exploitation - OHADA</t>
  </si>
  <si>
    <t>"66 - Charges de personnel - OHADA"</t>
  </si>
  <si>
    <t>Charges de personnel</t>
  </si>
  <si>
    <t>6 - Comptes de charges des activités ordinaires - OHADA</t>
  </si>
  <si>
    <t>"661000 - Rémunérations directes versées au personnel national - OHADA"</t>
  </si>
  <si>
    <t>Rémunérations directes versées au personnel national</t>
  </si>
  <si>
    <t>66 - Charges de personnel - OHADA</t>
  </si>
  <si>
    <t>"661100 - Appointements salaires et commissions - OHADA"</t>
  </si>
  <si>
    <t>Appointements salaires et commissions</t>
  </si>
  <si>
    <t>661000 - Rémunérations directes versées au personnel national - OHADA</t>
  </si>
  <si>
    <t>"661200 - Primes et gratifications - OHADA"</t>
  </si>
  <si>
    <t>Primes et gratifications</t>
  </si>
  <si>
    <t>661000 - Rémunérations directes versées au personnel national - OHADA</t>
  </si>
  <si>
    <t>"661300 - Congés payés - OHADA"</t>
  </si>
  <si>
    <t>Congés payés</t>
  </si>
  <si>
    <t>661000 - Rémunérations directes versées au personnel national - OHADA</t>
  </si>
  <si>
    <t>"661400 - Indemnités de préavis, de licenciement et de recherche d’embauche - OHADA"</t>
  </si>
  <si>
    <t>Indemnités de préavis, de licenciement et de recherche d’embauche</t>
  </si>
  <si>
    <t>661000 - Rémunérations directes versées au personnel national - OHADA</t>
  </si>
  <si>
    <t>"661500 - Indemnités de maladie versées aux travailleurs - OHADA"</t>
  </si>
  <si>
    <t>Indemnités de maladie versées aux travailleurs</t>
  </si>
  <si>
    <t>661000 - Rémunérations directes versées au personnel national - OHADA</t>
  </si>
  <si>
    <t>"661600 - Supplément familial - OHADA"</t>
  </si>
  <si>
    <t>Supplément familial</t>
  </si>
  <si>
    <t>661000 - Rémunérations directes versées au personnel national - OHADA</t>
  </si>
  <si>
    <t>"661700 - Avantages en nature - OHADA"</t>
  </si>
  <si>
    <t>Avantages en nature</t>
  </si>
  <si>
    <t>661000 - Rémunérations directes versées au personnel national - OHADA</t>
  </si>
  <si>
    <t>"661800 - Autres rémunérations directes - OHADA"</t>
  </si>
  <si>
    <t>Autres rémunérations directes</t>
  </si>
  <si>
    <t>661000 - Rémunérations directes versées au personnel national - OHADA</t>
  </si>
  <si>
    <t>"662000 - Rémunérations directes versées au personnel non national - OHADA"</t>
  </si>
  <si>
    <t>Rémunérations directes versées au personnel non national</t>
  </si>
  <si>
    <t>66 - Charges de personnel - OHADA</t>
  </si>
  <si>
    <t>"662100 - Appointements salaires et commissions - OHADA"</t>
  </si>
  <si>
    <t>Appointements salaires et commissions</t>
  </si>
  <si>
    <t>662000 - Rémunérations directes versées au personnel non national - OHADA</t>
  </si>
  <si>
    <t>"662200 - Primes et gratifications - OHADA"</t>
  </si>
  <si>
    <t>Primes et gratifications</t>
  </si>
  <si>
    <t>662000 - Rémunérations directes versées au personnel non national - OHADA</t>
  </si>
  <si>
    <t>"662300 - Congés payés - OHADA"</t>
  </si>
  <si>
    <t>Congés payés</t>
  </si>
  <si>
    <t>662000 - Rémunérations directes versées au personnel non national - OHADA</t>
  </si>
  <si>
    <t>"662400 - Indemnités de préavis, de licenciement et de recherche d’embauche - OHADA"</t>
  </si>
  <si>
    <t>Indemnités de préavis, de licenciement et de recherche d’embauche</t>
  </si>
  <si>
    <t>662000 - Rémunérations directes versées au personnel non national - OHADA</t>
  </si>
  <si>
    <t>"662500 - Indemnités de maladie versées aux travailleurs - OHADA"</t>
  </si>
  <si>
    <t>Indemnités de maladie versées aux travailleurs</t>
  </si>
  <si>
    <t>662000 - Rémunérations directes versées au personnel non national - OHADA</t>
  </si>
  <si>
    <t>"662600 - Supplément familial - OHADA"</t>
  </si>
  <si>
    <t>Supplément familial</t>
  </si>
  <si>
    <t>662000 - Rémunérations directes versées au personnel non national - OHADA</t>
  </si>
  <si>
    <t>"662700 - Avantages en nature - OHADA"</t>
  </si>
  <si>
    <t>Avantages en nature</t>
  </si>
  <si>
    <t>662000 - Rémunérations directes versées au personnel non national - OHADA</t>
  </si>
  <si>
    <t>"662800 - Autres rémunérations directes - OHADA"</t>
  </si>
  <si>
    <t>Autres rémunérations directes</t>
  </si>
  <si>
    <t>662000 - Rémunérations directes versées au personnel non national - OHADA</t>
  </si>
  <si>
    <t>"663000 - Indemnités forfaitaires versées au personnel - OHADA"</t>
  </si>
  <si>
    <t>Indemnités forfaitaires versées au personnel</t>
  </si>
  <si>
    <t>66 - Charges de personnel - OHADA</t>
  </si>
  <si>
    <t>"663100 - Indemnités de logement - OHADA"</t>
  </si>
  <si>
    <t>Indemnités de logement</t>
  </si>
  <si>
    <t>663000 - Indemnités forfaitaires versées au personnel - OHADA</t>
  </si>
  <si>
    <t>"663200 - Indemnités de représentation - OHADA"</t>
  </si>
  <si>
    <t>Indemnités de représentation</t>
  </si>
  <si>
    <t>663000 - Indemnités forfaitaires versées au personnel - OHADA</t>
  </si>
  <si>
    <t>"663300 - Indemnités d’expatriation - OHADA"</t>
  </si>
  <si>
    <t>Indemnités d’expatriation</t>
  </si>
  <si>
    <t>663000 - Indemnités forfaitaires versées au personnel - OHADA</t>
  </si>
  <si>
    <t>"663400 - Indemnités de transport - OHADA"</t>
  </si>
  <si>
    <t>Indemnités de transport</t>
  </si>
  <si>
    <t>663000 - Indemnités forfaitaires versées au personnel - OHADA</t>
  </si>
  <si>
    <t>"663800 - Autres indemnités et avantages divers - OHADA"</t>
  </si>
  <si>
    <t>Autres indemnités et avantages divers</t>
  </si>
  <si>
    <t>663000 - Indemnités forfaitaires versées au personnel - OHADA</t>
  </si>
  <si>
    <t>"664000 - Charges sociales - OHADA"</t>
  </si>
  <si>
    <t>Charges sociales</t>
  </si>
  <si>
    <t>66 - Charges de personnel - OHADA</t>
  </si>
  <si>
    <t>"664100 - Charges sociales sur rémunération du personnel national - OHADA"</t>
  </si>
  <si>
    <t>Charges sociales sur rémunération du personnel national</t>
  </si>
  <si>
    <t>664000 - Charges sociales - OHADA</t>
  </si>
  <si>
    <t>"664200 - Charges sociales sur rémunération du personnel non national - OHADA"</t>
  </si>
  <si>
    <t>Charges sociales sur rémunération du personnel non national</t>
  </si>
  <si>
    <t>664000 - Charges sociales - OHADA</t>
  </si>
  <si>
    <t>"666000 - Rémunérations et charges sociales de l’exploitant individuel - OHADA"</t>
  </si>
  <si>
    <t>Rémunérations et charges sociales de l’exploitant individuel</t>
  </si>
  <si>
    <t>66 - Charges de personnel - OHADA</t>
  </si>
  <si>
    <t>"666100 - Rémunération du travail de l’exploitant - OHADA"</t>
  </si>
  <si>
    <t>Rémunération du travail de l’exploitant</t>
  </si>
  <si>
    <t>666000 - Rémunérations et charges sociales de l’exploitant individuel - OHADA</t>
  </si>
  <si>
    <t>"666200 - Charges sociales - OHADA"</t>
  </si>
  <si>
    <t>Charges sociales</t>
  </si>
  <si>
    <t>666000 - Rémunérations et charges sociales de l’exploitant individuel - OHADA</t>
  </si>
  <si>
    <t>"667000 - Rémunération transférée de personnel extérieur - OHADA"</t>
  </si>
  <si>
    <t>Rémunération transférée de personnel extérieur</t>
  </si>
  <si>
    <t>66 - Charges de personnel - OHADA</t>
  </si>
  <si>
    <t>"667100 - Personnel intérimaire - OHADA"</t>
  </si>
  <si>
    <t>Personnel intérimaire</t>
  </si>
  <si>
    <t>667000 - Rémunération transférée de personnel extérieur - OHADA</t>
  </si>
  <si>
    <t>"667200 - Personnel détaché ou prêté à l’entité - OHADA"</t>
  </si>
  <si>
    <t>Personnel détaché ou prêté à l’entité</t>
  </si>
  <si>
    <t>667000 - Rémunération transférée de personnel extérieur - OHADA</t>
  </si>
  <si>
    <t>"668000 - Autres charges sociales - OHADA"</t>
  </si>
  <si>
    <t>Autres charges sociales</t>
  </si>
  <si>
    <t>66 - Charges de personnel - OHADA</t>
  </si>
  <si>
    <t>"668100 - Versements aux syndicats et comités d’entreprise, d’établissement - OHADA"</t>
  </si>
  <si>
    <t>Versements aux syndicats et comités d’entreprise, d’établissement</t>
  </si>
  <si>
    <t>668000 - Autres charges sociales - OHADA</t>
  </si>
  <si>
    <t>"668200 - Versements aux comités d’hygiène et de sécurité - OHADA"</t>
  </si>
  <si>
    <t>Versements aux comités d’hygiène et de sécurité</t>
  </si>
  <si>
    <t>668000 - Autres charges sociales - OHADA</t>
  </si>
  <si>
    <t>"668300 - Versements et contributions aux autres œuvres sociales - OHADA"</t>
  </si>
  <si>
    <t>Versements et contributions aux autres œuvres sociales</t>
  </si>
  <si>
    <t>668000 - Autres charges sociales - OHADA</t>
  </si>
  <si>
    <t>"668400 - Médecine du travail et pharmacie - OHADA"</t>
  </si>
  <si>
    <t>Médecine du travail et pharmacie</t>
  </si>
  <si>
    <t>668000 - Autres charges sociales - OHADA</t>
  </si>
  <si>
    <t>"668500 - Assurances et organismes de santé - OHADA"</t>
  </si>
  <si>
    <t>Assurances et organismes de santé</t>
  </si>
  <si>
    <t>668000 - Autres charges sociales - OHADA</t>
  </si>
  <si>
    <t>"668600 - Assurances retraite et fonds de pension - OHADA"</t>
  </si>
  <si>
    <t>Assurances retraite et fonds de pension</t>
  </si>
  <si>
    <t>668000 - Autres charges sociales - OHADA</t>
  </si>
  <si>
    <t>"668700 - Majorations et pénalités sociales - OHADA"</t>
  </si>
  <si>
    <t>Majorations et pénalités sociales</t>
  </si>
  <si>
    <t>668000 - Autres charges sociales - OHADA</t>
  </si>
  <si>
    <t>"668800 - Charges sociales diverses - OHADA"</t>
  </si>
  <si>
    <t>Charges sociales diverses</t>
  </si>
  <si>
    <t>668000 - Autres charges sociales - OHADA</t>
  </si>
  <si>
    <t>"67 - Frais financiers et charges assimilées - OHADA"</t>
  </si>
  <si>
    <t>Frais financiers et charges assimilées</t>
  </si>
  <si>
    <t>6 - Comptes de charges des activités ordinaires - OHADA</t>
  </si>
  <si>
    <t>"671000 - Intérêts des emprunts - OHADA"</t>
  </si>
  <si>
    <t>Intérêts des emprunts</t>
  </si>
  <si>
    <t>67 - Frais financiers et charges assimilées - OHADA</t>
  </si>
  <si>
    <t>"671100 - Emprunts obligataires - OHADA"</t>
  </si>
  <si>
    <t>Emprunts obligataires</t>
  </si>
  <si>
    <t>671000 - Intérêts des emprunts - OHADA</t>
  </si>
  <si>
    <t>"671200 - Emprunts auprès des établissements de crédit - OHADA"</t>
  </si>
  <si>
    <t>Emprunts auprès des établissements de crédit</t>
  </si>
  <si>
    <t>671000 - Intérêts des emprunts - OHADA</t>
  </si>
  <si>
    <t>"671300 - Dettes liées à des participations - OHADA"</t>
  </si>
  <si>
    <t>Dettes liées à des participations</t>
  </si>
  <si>
    <t>671000 - Intérêts des emprunts - OHADA</t>
  </si>
  <si>
    <t>"671400 - Primes de remboursement des obligations - OHADA"</t>
  </si>
  <si>
    <t>Primes de remboursement des obligations</t>
  </si>
  <si>
    <t>671000 - Intérêts des emprunts - OHADA</t>
  </si>
  <si>
    <t>"672000 - Intérêts dans loyers de location acquisition - OHADA"</t>
  </si>
  <si>
    <t>Intérêts dans loyers de location acquisition</t>
  </si>
  <si>
    <t>67 - Frais financiers et charges assimilées - OHADA</t>
  </si>
  <si>
    <t>"672200 - Intérêts dans loyers de location acquisition / crédit-bail immobilier - OHADA"</t>
  </si>
  <si>
    <t>Intérêts dans loyers de location acquisition / crédit-bail immobilier</t>
  </si>
  <si>
    <t>672000 - Intérêts dans loyers de location acquisition - OHADA</t>
  </si>
  <si>
    <t>"672300 - Intérêts dans loyers de location acquisition / crédit-bail mobilier - OHADA"</t>
  </si>
  <si>
    <t>Intérêts dans loyers de location acquisition / crédit-bail mobilier</t>
  </si>
  <si>
    <t>672000 - Intérêts dans loyers de location acquisition - OHADA</t>
  </si>
  <si>
    <t>"672400 - Intérêts dans loyers de location acquisition / location-vente - OHADA"</t>
  </si>
  <si>
    <t>Intérêts dans loyers de location acquisition / location-vente</t>
  </si>
  <si>
    <t>672000 - Intérêts dans loyers de location acquisition - OHADA</t>
  </si>
  <si>
    <t>"672800 - Intérêts dans loyers des autres locations acquisition - OHADA"</t>
  </si>
  <si>
    <t>Intérêts dans loyers des autres locations acquisition</t>
  </si>
  <si>
    <t>672000 - Intérêts dans loyers de location acquisition - OHADA</t>
  </si>
  <si>
    <t>"673000 - Escomptes accordés - OHADA"</t>
  </si>
  <si>
    <t>Escomptes accordés</t>
  </si>
  <si>
    <t>67 - Frais financiers et charges assimilées - OHADA</t>
  </si>
  <si>
    <t>"674000 - Autres intérêts - OHADA"</t>
  </si>
  <si>
    <t>Autres intérêts</t>
  </si>
  <si>
    <t>67 - Frais financiers et charges assimilées - OHADA</t>
  </si>
  <si>
    <t>"674100 - Avances reçues et dépôts créditeurs - OHADA"</t>
  </si>
  <si>
    <t>Avances reçues et dépôts créditeurs</t>
  </si>
  <si>
    <t>674000 - Autres intérêts - OHADA</t>
  </si>
  <si>
    <t>"674200 - Comptes courants bloqués - OHADA"</t>
  </si>
  <si>
    <t>Comptes courants bloqués</t>
  </si>
  <si>
    <t>674000 - Autres intérêts - OHADA</t>
  </si>
  <si>
    <t>"674300 - Intérêts sur obligations cautionnées - OHADA"</t>
  </si>
  <si>
    <t>Intérêts sur obligations cautionnées</t>
  </si>
  <si>
    <t>674000 - Autres intérêts - OHADA</t>
  </si>
  <si>
    <t>"674400 - Intérêts sur dettes commerciales - OHADA"</t>
  </si>
  <si>
    <t>Intérêts sur dettes commerciales</t>
  </si>
  <si>
    <t>674000 - Autres intérêts - OHADA</t>
  </si>
  <si>
    <t>"674500 - Intérêts bancaires et sur opérations de financement (escompte...) - OHADA"</t>
  </si>
  <si>
    <t>Intérêts bancaires et sur opérations de financement (escompte...)</t>
  </si>
  <si>
    <t>674000 - Autres intérêts - OHADA</t>
  </si>
  <si>
    <t>"674800 - Intérêts sur dettes diverses - OHADA"</t>
  </si>
  <si>
    <t>Intérêts sur dettes diverses</t>
  </si>
  <si>
    <t>674000 - Autres intérêts - OHADA</t>
  </si>
  <si>
    <t>"675000 - Escomptes des effets de commerce - OHADA"</t>
  </si>
  <si>
    <t>Escomptes des effets de commerce</t>
  </si>
  <si>
    <t>67 - Frais financiers et charges assimilées - OHADA</t>
  </si>
  <si>
    <t>"676000 - Pertes de change financières - OHADA"</t>
  </si>
  <si>
    <t>Pertes de change financières</t>
  </si>
  <si>
    <t>67 - Frais financiers et charges assimilées - OHADA</t>
  </si>
  <si>
    <t>"677000 - Pertes sur titres de placement - OHADA"</t>
  </si>
  <si>
    <t>Pertes sur titres de placement</t>
  </si>
  <si>
    <t>67 - Frais financiers et charges assimilées - OHADA</t>
  </si>
  <si>
    <t>"677100 - Pertes sur cessions de titres de placement - OHADA"</t>
  </si>
  <si>
    <t>Pertes sur cessions de titres de placement</t>
  </si>
  <si>
    <t>677000 - Pertes sur titres de placement - OHADA</t>
  </si>
  <si>
    <t>"677200 - Mali provenant d’attribution gratuite d’actions au personnel salarié et aux dirigeants - OHADA"</t>
  </si>
  <si>
    <t>Mali provenant d’attribution gratuite d’actions au personnel salarié et aux dirigeants</t>
  </si>
  <si>
    <t>677000 - Pertes sur titres de placement - OHADA</t>
  </si>
  <si>
    <t>"678000 - Pertes et charges sur risques financiers - OHADA"</t>
  </si>
  <si>
    <t>Pertes et charges sur risques financiers</t>
  </si>
  <si>
    <t>67 - Frais financiers et charges assimilées - OHADA</t>
  </si>
  <si>
    <t>"678100 - Sur rentes viagères - OHADA"</t>
  </si>
  <si>
    <t>Sur rentes viagères</t>
  </si>
  <si>
    <t>678000 - Pertes et charges sur risques financiers - OHADA</t>
  </si>
  <si>
    <t>"678200 - Sur opérations financières - OHADA"</t>
  </si>
  <si>
    <t>Sur opérations financières</t>
  </si>
  <si>
    <t>678000 - Pertes et charges sur risques financiers - OHADA</t>
  </si>
  <si>
    <t>"678400 - Sur instruments de trésorerie - OHADA"</t>
  </si>
  <si>
    <t>Sur instruments de trésorerie</t>
  </si>
  <si>
    <t>678000 - Pertes et charges sur risques financiers - OHADA</t>
  </si>
  <si>
    <t>"679000 - Charges pour dépréciations et provisions pour risques à court terme financières - OHADA"</t>
  </si>
  <si>
    <t>Charges pour dépréciations et provisions pour risques à court terme financières</t>
  </si>
  <si>
    <t>67 - Frais financiers et charges assimilées - OHADA</t>
  </si>
  <si>
    <t>"679100 - Sur risques financiers - OHADA"</t>
  </si>
  <si>
    <t>Sur risques financiers</t>
  </si>
  <si>
    <t>679000 - Charges pour dépréciations et provisions pour risques à court terme financières - OHADA</t>
  </si>
  <si>
    <t>"679500 - Sur titres de placement - OHADA"</t>
  </si>
  <si>
    <t>Sur titres de placement</t>
  </si>
  <si>
    <t>679000 - Charges pour dépréciations et provisions pour risques à court terme financières - OHADA</t>
  </si>
  <si>
    <t>"679800 - Autres charges pour dépréciations et provisions pour risques à court terme financières - OHADA"</t>
  </si>
  <si>
    <t>Autres charges pour dépréciations et provisions pour risques à court terme financières</t>
  </si>
  <si>
    <t>679000 - Charges pour dépréciations et provisions pour risques à court terme financières - OHADA</t>
  </si>
  <si>
    <t>"68 - Dotations aux amortissements - OHADA"</t>
  </si>
  <si>
    <t>Dotations aux amortissements</t>
  </si>
  <si>
    <t>6 - Comptes de charges des activités ordinaires - OHADA</t>
  </si>
  <si>
    <t>"681000 - Dotations aux amortissements d’exploitation - OHADA"</t>
  </si>
  <si>
    <t>Dotations aux amortissements d’exploitation</t>
  </si>
  <si>
    <t>68 - Dotations aux amortissements - OHADA</t>
  </si>
  <si>
    <t>"681200 - Dotations aux amortissements des immobilisations incorporelles - OHADA"</t>
  </si>
  <si>
    <t>Dotations aux amortissements des immobilisations incorporelles</t>
  </si>
  <si>
    <t>681000 - Dotations aux amortissements d’exploitation - OHADA</t>
  </si>
  <si>
    <t>"681300 - Dotations aux amortissements des immobilisations corporelles - OHADA"</t>
  </si>
  <si>
    <t>Dotations aux amortissements des immobilisations corporelles</t>
  </si>
  <si>
    <t>681000 - Dotations aux amortissements d’exploitation - OHADA</t>
  </si>
  <si>
    <t>"69 - Dotations aux provisions et aux dépréciations - OHADA"</t>
  </si>
  <si>
    <t>Dotations aux provisions et aux dépréciations</t>
  </si>
  <si>
    <t>6 - Comptes de charges des activités ordinaires - OHADA</t>
  </si>
  <si>
    <t>"691000 - Dotations aux provisions et aux dépréciations d’exploitation - OHADA"</t>
  </si>
  <si>
    <t>Dotations aux provisions et aux dépréciations d’exploitation</t>
  </si>
  <si>
    <t>69 - Dotations aux provisions et aux dépréciations - OHADA</t>
  </si>
  <si>
    <t>"691100 - Dotations aux provisions pour risques et charges - OHADA"</t>
  </si>
  <si>
    <t>Dotations aux provisions pour risques et charges</t>
  </si>
  <si>
    <t>691000 - Dotations aux provisions et aux dépréciations d’exploitation - OHADA</t>
  </si>
  <si>
    <t>"691300 - Dotations aux dépréciations des immobilisations incorporelles - OHADA"</t>
  </si>
  <si>
    <t>Dotations aux dépréciations des immobilisations incorporelles</t>
  </si>
  <si>
    <t>691000 - Dotations aux provisions et aux dépréciations d’exploitation - OHADA</t>
  </si>
  <si>
    <t>"691400 - Dotations aux dépréciations des immobilisations corporelles - OHADA"</t>
  </si>
  <si>
    <t>Dotations aux dépréciations des immobilisations corporelles</t>
  </si>
  <si>
    <t>691000 - Dotations aux provisions et aux dépréciations d’exploitation - OHADA</t>
  </si>
  <si>
    <t>"697000 - Dotations aux provisions et aux dépréciations financières - OHADA"</t>
  </si>
  <si>
    <t>Dotations aux provisions et aux dépréciations financières</t>
  </si>
  <si>
    <t>69 - Dotations aux provisions et aux dépréciations - OHADA</t>
  </si>
  <si>
    <t>"697100 - Dotations aux provisions pour risques et charges - OHADA"</t>
  </si>
  <si>
    <t>Dotations aux provisions pour risques et charges</t>
  </si>
  <si>
    <t>697000 - Dotations aux provisions et aux dépréciations financières - OHADA</t>
  </si>
  <si>
    <t>"697200 - Dotations aux dépréciations des immobilisations financières - OHADA"</t>
  </si>
  <si>
    <t>Dotations aux dépréciations des immobilisations financières</t>
  </si>
  <si>
    <t>697000 - Dotations aux provisions et aux dépréciations financières - OHADA</t>
  </si>
  <si>
    <t>"7 - Comptes de produits des activités ordinaires - OHADA"</t>
  </si>
  <si>
    <t>Comptes de produits des activités ordinaires</t>
  </si>
  <si>
    <t>"70 - Ventes - OHADA"</t>
  </si>
  <si>
    <t>Ventes</t>
  </si>
  <si>
    <t>7 - Comptes de produits des activités ordinaires - OHADA</t>
  </si>
  <si>
    <t>"701000 - Ventes de marchandises - OHADA"</t>
  </si>
  <si>
    <t>Ventes de marchandises</t>
  </si>
  <si>
    <t>70 - Ventes - OHADA</t>
  </si>
  <si>
    <t>"701100 - Dans la Région - OHADA"</t>
  </si>
  <si>
    <t>Dans la Région</t>
  </si>
  <si>
    <t>701000 - Ventes de marchandises - OHADA</t>
  </si>
  <si>
    <t>"701200 - Hors Région - OHADA"</t>
  </si>
  <si>
    <t>Hors Région</t>
  </si>
  <si>
    <t>701000 - Ventes de marchandises - OHADA</t>
  </si>
  <si>
    <t>"701300 - Aux entités du groupe dans la Région - OHADA"</t>
  </si>
  <si>
    <t>Aux entités du groupe dans la Région</t>
  </si>
  <si>
    <t>701000 - Ventes de marchandises - OHADA</t>
  </si>
  <si>
    <t>"701400 - Aux entités du groupe hors Région - OHADA"</t>
  </si>
  <si>
    <t>Aux entités du groupe hors Région</t>
  </si>
  <si>
    <t>701000 - Ventes de marchandises - OHADA</t>
  </si>
  <si>
    <t>"701500 - Sur internet - OHADA"</t>
  </si>
  <si>
    <t>Sur internet</t>
  </si>
  <si>
    <t>701000 - Ventes de marchandises - OHADA</t>
  </si>
  <si>
    <t>"701900 - Rabais, remises, ristournes accordés (non ventilés) - OHADA"</t>
  </si>
  <si>
    <t>Rabais, remises, ristournes accordés (non ventilés)</t>
  </si>
  <si>
    <t>701000 - Ventes de marchandises - OHADA</t>
  </si>
  <si>
    <t>"702000 - Ventes de produits finis - OHADA"</t>
  </si>
  <si>
    <t>Ventes de produits finis</t>
  </si>
  <si>
    <t>70 - Ventes - OHADA</t>
  </si>
  <si>
    <t>"702100 - Dans la Région - OHADA"</t>
  </si>
  <si>
    <t>Dans la Région</t>
  </si>
  <si>
    <t>702000 - Ventes de produits finis - OHADA</t>
  </si>
  <si>
    <t>"702200 - Hors Région - OHADA"</t>
  </si>
  <si>
    <t>Hors Région</t>
  </si>
  <si>
    <t>702000 - Ventes de produits finis - OHADA</t>
  </si>
  <si>
    <t>"702300 - Aux entités du groupe dans la Région - OHADA"</t>
  </si>
  <si>
    <t>Aux entités du groupe dans la Région</t>
  </si>
  <si>
    <t>702000 - Ventes de produits finis - OHADA</t>
  </si>
  <si>
    <t>"702400 - Aux entités du groupe hors Région - OHADA"</t>
  </si>
  <si>
    <t>Aux entités du groupe hors Région</t>
  </si>
  <si>
    <t>702000 - Ventes de produits finis - OHADA</t>
  </si>
  <si>
    <t>"702500 - Sur internet - OHADA"</t>
  </si>
  <si>
    <t>Sur internet</t>
  </si>
  <si>
    <t>702000 - Ventes de produits finis - OHADA</t>
  </si>
  <si>
    <t>"702900 - Rabais, remises, ristournes accordés (non ventilés) - OHADA"</t>
  </si>
  <si>
    <t>Rabais, remises, ristournes accordés (non ventilés)</t>
  </si>
  <si>
    <t>702000 - Ventes de produits finis - OHADA</t>
  </si>
  <si>
    <t>"703000 - Ventes de produits intermédiaires - OHADA"</t>
  </si>
  <si>
    <t>Ventes de produits intermédiaires</t>
  </si>
  <si>
    <t>70 - Ventes - OHADA</t>
  </si>
  <si>
    <t>"703100 - Dans la Région - OHADA"</t>
  </si>
  <si>
    <t>Dans la Région</t>
  </si>
  <si>
    <t>703000 - Ventes de produits intermédiaires - OHADA</t>
  </si>
  <si>
    <t>"703200 - Hors Région - OHADA"</t>
  </si>
  <si>
    <t>Hors Région</t>
  </si>
  <si>
    <t>703000 - Ventes de produits intermédiaires - OHADA</t>
  </si>
  <si>
    <t>"703300 - Aux entités du groupe dans la Région - OHADA"</t>
  </si>
  <si>
    <t>Aux entités du groupe dans la Région</t>
  </si>
  <si>
    <t>703000 - Ventes de produits intermédiaires - OHADA</t>
  </si>
  <si>
    <t>"703400 - Aux entités du groupe hors Région - OHADA"</t>
  </si>
  <si>
    <t>Aux entités du groupe hors Région</t>
  </si>
  <si>
    <t>703000 - Ventes de produits intermédiaires - OHADA</t>
  </si>
  <si>
    <t>"703500 - Sur internet - OHADA"</t>
  </si>
  <si>
    <t>Sur internet</t>
  </si>
  <si>
    <t>703000 - Ventes de produits intermédiaires - OHADA</t>
  </si>
  <si>
    <t>"703900 - Rabais, remises, ristournes accordés (non ventilés) - OHADA"</t>
  </si>
  <si>
    <t>Rabais, remises, ristournes accordés (non ventilés)</t>
  </si>
  <si>
    <t>703000 - Ventes de produits intermédiaires - OHADA</t>
  </si>
  <si>
    <t>"704000 - Ventes de produits résiduels - OHADA"</t>
  </si>
  <si>
    <t>Ventes de produits résiduels</t>
  </si>
  <si>
    <t>70 - Ventes - OHADA</t>
  </si>
  <si>
    <t>"704100 - Dans la Région - OHADA"</t>
  </si>
  <si>
    <t>Dans la Région</t>
  </si>
  <si>
    <t>704000 - Ventes de produits résiduels - OHADA</t>
  </si>
  <si>
    <t>"704200 - Hors Région - OHADA"</t>
  </si>
  <si>
    <t>Hors Région</t>
  </si>
  <si>
    <t>704000 - Ventes de produits résiduels - OHADA</t>
  </si>
  <si>
    <t>"704300 - Aux entités du groupe dans la Région - OHADA"</t>
  </si>
  <si>
    <t>Aux entités du groupe dans la Région</t>
  </si>
  <si>
    <t>704000 - Ventes de produits résiduels - OHADA</t>
  </si>
  <si>
    <t>"704400 - Aux entités du groupe hors Région - OHADA"</t>
  </si>
  <si>
    <t>Aux entités du groupe hors Région</t>
  </si>
  <si>
    <t>704000 - Ventes de produits résiduels - OHADA</t>
  </si>
  <si>
    <t>"704500 - Sur internet - OHADA"</t>
  </si>
  <si>
    <t>Sur internet</t>
  </si>
  <si>
    <t>704000 - Ventes de produits résiduels - OHADA</t>
  </si>
  <si>
    <t>"704900 - Rabais, remises, ristournes accordés (non ventilés) - OHADA"</t>
  </si>
  <si>
    <t>Rabais, remises, ristournes accordés (non ventilés)</t>
  </si>
  <si>
    <t>704000 - Ventes de produits résiduels - OHADA</t>
  </si>
  <si>
    <t>"705000 - Travaux facturés - OHADA"</t>
  </si>
  <si>
    <t>Travaux facturés</t>
  </si>
  <si>
    <t>70 - Ventes - OHADA</t>
  </si>
  <si>
    <t>"705100 - Dans la Région - OHADA"</t>
  </si>
  <si>
    <t>Dans la Région</t>
  </si>
  <si>
    <t>705000 - Travaux facturés - OHADA</t>
  </si>
  <si>
    <t>"705200 - Hors Région - OHADA"</t>
  </si>
  <si>
    <t>Hors Région</t>
  </si>
  <si>
    <t>705000 - Travaux facturés - OHADA</t>
  </si>
  <si>
    <t>"705300 - Aux entités du groupe dans la Région - OHADA"</t>
  </si>
  <si>
    <t>Aux entités du groupe dans la Région</t>
  </si>
  <si>
    <t>705000 - Travaux facturés - OHADA</t>
  </si>
  <si>
    <t>"705400 - Aux entités du groupe hors Région - OHADA"</t>
  </si>
  <si>
    <t>Aux entités du groupe hors Région</t>
  </si>
  <si>
    <t>705000 - Travaux facturés - OHADA</t>
  </si>
  <si>
    <t>"705500 - Sur internet - OHADA"</t>
  </si>
  <si>
    <t>Sur internet</t>
  </si>
  <si>
    <t>705000 - Travaux facturés - OHADA</t>
  </si>
  <si>
    <t>"705900 - Rabais, remises, ristournes accordés (non ventilés) - OHADA"</t>
  </si>
  <si>
    <t>Rabais, remises, ristournes accordés (non ventilés)</t>
  </si>
  <si>
    <t>705000 - Travaux facturés - OHADA</t>
  </si>
  <si>
    <t>"706000 - Services vendus - OHADA"</t>
  </si>
  <si>
    <t>Services vendus</t>
  </si>
  <si>
    <t>70 - Ventes - OHADA</t>
  </si>
  <si>
    <t>"706100 - Dans la Région - OHADA"</t>
  </si>
  <si>
    <t>Dans la Région</t>
  </si>
  <si>
    <t>706000 - Services vendus - OHADA</t>
  </si>
  <si>
    <t>"706200 - Hors Région - OHADA"</t>
  </si>
  <si>
    <t>Hors Région</t>
  </si>
  <si>
    <t>706000 - Services vendus - OHADA</t>
  </si>
  <si>
    <t>"706300 - Aux entités du groupe dans la Région - OHADA"</t>
  </si>
  <si>
    <t>Aux entités du groupe dans la Région</t>
  </si>
  <si>
    <t>706000 - Services vendus - OHADA</t>
  </si>
  <si>
    <t>"706400 - Aux entités du groupe hors Région - OHADA"</t>
  </si>
  <si>
    <t>Aux entités du groupe hors Région</t>
  </si>
  <si>
    <t>706000 - Services vendus - OHADA</t>
  </si>
  <si>
    <t>"706500 - Sur internet - OHADA"</t>
  </si>
  <si>
    <t>Sur internet</t>
  </si>
  <si>
    <t>706000 - Services vendus - OHADA</t>
  </si>
  <si>
    <t>"706900 - Rabais, remises, ristournes accordés (non ventilés) - OHADA"</t>
  </si>
  <si>
    <t>Rabais, remises, ristournes accordés (non ventilés)</t>
  </si>
  <si>
    <t>706000 - Services vendus - OHADA</t>
  </si>
  <si>
    <t>"707000 - Produits accessoires - OHADA"</t>
  </si>
  <si>
    <t>Produits accessoires</t>
  </si>
  <si>
    <t>70 - Ventes - OHADA</t>
  </si>
  <si>
    <t>"707100 - Ports, emballages perdus et autres frais facturés - OHADA"</t>
  </si>
  <si>
    <t>Ports, emballages perdus et autres frais facturés</t>
  </si>
  <si>
    <t>707000 - Produits accessoires - OHADA</t>
  </si>
  <si>
    <t>"707200 - Commissions et courtages - OHADA"</t>
  </si>
  <si>
    <t>Commissions et courtages</t>
  </si>
  <si>
    <t>707000 - Produits accessoires - OHADA</t>
  </si>
  <si>
    <t>"707300 - Locations - OHADA"</t>
  </si>
  <si>
    <t>Locations</t>
  </si>
  <si>
    <t>707000 - Produits accessoires - OHADA</t>
  </si>
  <si>
    <t>"707400 - Bonis sur reprises et cessions d’emballages - OHADA"</t>
  </si>
  <si>
    <t>Bonis sur reprises et cessions d’emballages</t>
  </si>
  <si>
    <t>707000 - Produits accessoires - OHADA</t>
  </si>
  <si>
    <t>"707500 - Mise à disposition de personnel - OHADA"</t>
  </si>
  <si>
    <t>Mise à disposition de personnel</t>
  </si>
  <si>
    <t>707000 - Produits accessoires - OHADA</t>
  </si>
  <si>
    <t>"707600 - Redevances pour brevets, logiciels, marques et droits similaires - OHADA"</t>
  </si>
  <si>
    <t>Redevances pour brevets, logiciels, marques et droits similaires</t>
  </si>
  <si>
    <t>707000 - Produits accessoires - OHADA</t>
  </si>
  <si>
    <t>"707700 - Services exploités dans l’intérêt du personnel - OHADA"</t>
  </si>
  <si>
    <t>Services exploités dans l’intérêt du personnel</t>
  </si>
  <si>
    <t>707000 - Produits accessoires - OHADA</t>
  </si>
  <si>
    <t>"707800 - Autres produits accessoires - OHADA"</t>
  </si>
  <si>
    <t>Autres produits accessoires</t>
  </si>
  <si>
    <t>707000 - Produits accessoires - OHADA</t>
  </si>
  <si>
    <t>"71 - Subventions d’exploitation - OHADA"</t>
  </si>
  <si>
    <t>Subventions d’exploitation</t>
  </si>
  <si>
    <t>7 - Comptes de produits des activités ordinaires - OHADA</t>
  </si>
  <si>
    <t>"711000 - Sur produits à l’exportation - OHADA"</t>
  </si>
  <si>
    <t>Sur produits à l’exportation</t>
  </si>
  <si>
    <t>71 - Subventions d’exploitation - OHADA</t>
  </si>
  <si>
    <t>"712000 - Sur produits à l’importation - OHADA"</t>
  </si>
  <si>
    <t>Sur produits à l’importation</t>
  </si>
  <si>
    <t>71 - Subventions d’exploitation - OHADA</t>
  </si>
  <si>
    <t>"713000 - Sur produits de péréquation - OHADA"</t>
  </si>
  <si>
    <t>Sur produits de péréquation</t>
  </si>
  <si>
    <t>71 - Subventions d’exploitation - OHADA</t>
  </si>
  <si>
    <t>"714000 - Indemnités et subventions d’exploitation (entité agricole) - OHADA"</t>
  </si>
  <si>
    <t>Indemnités et subventions d’exploitation (entité agricole)</t>
  </si>
  <si>
    <t>71 - Subventions d’exploitation - OHADA</t>
  </si>
  <si>
    <t>"718000 - Autres subventions d’exploitation - OHADA"</t>
  </si>
  <si>
    <t>Autres subventions d’exploitation</t>
  </si>
  <si>
    <t>71 - Subventions d’exploitation - OHADA</t>
  </si>
  <si>
    <t>"718100 - Versées par l’État et les collectivités publiques - OHADA"</t>
  </si>
  <si>
    <t>Versées par l’État et les collectivités publiques</t>
  </si>
  <si>
    <t>718000 - Autres subventions d’exploitation - OHADA</t>
  </si>
  <si>
    <t>"718200 - Versées par les organismes internationaux - OHADA"</t>
  </si>
  <si>
    <t>Versées par les organismes internationaux</t>
  </si>
  <si>
    <t>718000 - Autres subventions d’exploitation - OHADA</t>
  </si>
  <si>
    <t>"718300 - Versées par des tiers - OHADA"</t>
  </si>
  <si>
    <t>Versées par des tiers</t>
  </si>
  <si>
    <t>718000 - Autres subventions d’exploitation - OHADA</t>
  </si>
  <si>
    <t>"72 - Production immobilisée - OHADA"</t>
  </si>
  <si>
    <t>Production immobilisée</t>
  </si>
  <si>
    <t>7 - Comptes de produits des activités ordinaires - OHADA</t>
  </si>
  <si>
    <t>"721000 - Immobilisations incorporelles - OHADA"</t>
  </si>
  <si>
    <t>Immobilisations incorporelles</t>
  </si>
  <si>
    <t>72 - Production immobilisée - OHADA</t>
  </si>
  <si>
    <t>"722000 - Immobilisations corporelles - OHADA"</t>
  </si>
  <si>
    <t>Immobilisations corporelles</t>
  </si>
  <si>
    <t>72 - Production immobilisée - OHADA</t>
  </si>
  <si>
    <t>"722100 - Immobilisations corporelles (hors actifs biologiques) - OHADA"</t>
  </si>
  <si>
    <t>Immobilisations corporelles (hors actifs biologiques)</t>
  </si>
  <si>
    <t>722000 - Immobilisations corporelles - OHADA</t>
  </si>
  <si>
    <t>"722200 - Immobilisations corporelles (actifs biologiques) - OHADA"</t>
  </si>
  <si>
    <t>Immobilisations corporelles (actifs biologiques)</t>
  </si>
  <si>
    <t>722000 - Immobilisations corporelles - OHADA</t>
  </si>
  <si>
    <t>"724000 - Production auto-consommée - OHADA"</t>
  </si>
  <si>
    <t>Production auto-consommée</t>
  </si>
  <si>
    <t>72 - Production immobilisée - OHADA</t>
  </si>
  <si>
    <t>"726000 - Immobilisations financières - OHADA"</t>
  </si>
  <si>
    <t>Immobilisations financières</t>
  </si>
  <si>
    <t>72 - Production immobilisée - OHADA</t>
  </si>
  <si>
    <t>"73 - Variations des stocks de biens et de services produits - OHADA"</t>
  </si>
  <si>
    <t>Variations des stocks de biens et de services produits</t>
  </si>
  <si>
    <t>7 - Comptes de produits des activités ordinaires - OHADA</t>
  </si>
  <si>
    <t>"734000 - Variations des stocks de produits en cours - OHADA"</t>
  </si>
  <si>
    <t>Variations des stocks de produits en cours</t>
  </si>
  <si>
    <t>73 - Variations des stocks de biens et de services produits - OHADA</t>
  </si>
  <si>
    <t>"734100 - Produits en cours - OHADA"</t>
  </si>
  <si>
    <t>Produits en cours</t>
  </si>
  <si>
    <t>734000 - Variations des stocks de produits en cours - OHADA</t>
  </si>
  <si>
    <t>"734200 - Travaux en cours - OHADA"</t>
  </si>
  <si>
    <t>Travaux en cours</t>
  </si>
  <si>
    <t>734000 - Variations des stocks de produits en cours - OHADA</t>
  </si>
  <si>
    <t>"735000 - Variations des en-cours de services - OHADA"</t>
  </si>
  <si>
    <t>Variations des en-cours de services</t>
  </si>
  <si>
    <t>73 - Variations des stocks de biens et de services produits - OHADA</t>
  </si>
  <si>
    <t>"735100 - Études en cours - OHADA"</t>
  </si>
  <si>
    <t>Études en cours</t>
  </si>
  <si>
    <t>735000 - Variations des en-cours de services - OHADA</t>
  </si>
  <si>
    <t>"735200 - Prestations de services en cours - OHADA"</t>
  </si>
  <si>
    <t>Prestations de services en cours</t>
  </si>
  <si>
    <t>735000 - Variations des en-cours de services - OHADA</t>
  </si>
  <si>
    <t>"736000 - Variations des stocks de produits finis - OHADA"</t>
  </si>
  <si>
    <t>Variations des stocks de produits finis</t>
  </si>
  <si>
    <t>73 - Variations des stocks de biens et de services produits - OHADA</t>
  </si>
  <si>
    <t>"737000 - Variations des stocks de produits intermédiaires et résiduels - OHADA"</t>
  </si>
  <si>
    <t>Variations des stocks de produits intermédiaires et résiduels</t>
  </si>
  <si>
    <t>73 - Variations des stocks de biens et de services produits - OHADA</t>
  </si>
  <si>
    <t>"737100 - Produits intermédiaires - OHADA"</t>
  </si>
  <si>
    <t>Produits intermédiaires</t>
  </si>
  <si>
    <t>737000 - Variations des stocks de produits intermédiaires et résiduels - OHADA</t>
  </si>
  <si>
    <t>"737200 - Produits résiduels - OHADA"</t>
  </si>
  <si>
    <t>Produits résiduels</t>
  </si>
  <si>
    <t>737000 - Variations des stocks de produits intermédiaires et résiduels - OHADA</t>
  </si>
  <si>
    <t>"75 - Autres produits - OHADA"</t>
  </si>
  <si>
    <t>Autres produits</t>
  </si>
  <si>
    <t>7 - Comptes de produits des activités ordinaires - OHADA</t>
  </si>
  <si>
    <t>"751000 - Profits sur créances clients et autres débiteurs - OHADA"</t>
  </si>
  <si>
    <t>Profits sur créances clients et autres débiteurs</t>
  </si>
  <si>
    <t>75 - Autres produits - OHADA</t>
  </si>
  <si>
    <t>"752000 - Quote-part de résultat sur opérations faites en commun - OHADA"</t>
  </si>
  <si>
    <t>Quote-part de résultat sur opérations faites en commun</t>
  </si>
  <si>
    <t>75 - Autres produits - OHADA</t>
  </si>
  <si>
    <t>"752100 - Quote-part transférée de pertes (comptabilité du gérant) - OHADA"</t>
  </si>
  <si>
    <t>Quote-part transférée de pertes (comptabilité du gérant)</t>
  </si>
  <si>
    <t>752000 - Quote-part de résultat sur opérations faites en commun - OHADA</t>
  </si>
  <si>
    <t>"752500 - Bénéfices attribués par transfert (comptabilité des associés non gérants) - OHADA"</t>
  </si>
  <si>
    <t>Bénéfices attribués par transfert (comptabilité des associés non gérants)</t>
  </si>
  <si>
    <t>752000 - Quote-part de résultat sur opérations faites en commun - OHADA</t>
  </si>
  <si>
    <t>752500</t>
  </si>
  <si>
    <t>"754000 - Produits des cessions courantes d’immobilisations - OHADA"</t>
  </si>
  <si>
    <t>Produits des cessions courantes d’immobilisations</t>
  </si>
  <si>
    <t>75 - Autres produits - OHADA</t>
  </si>
  <si>
    <t>754000</t>
  </si>
  <si>
    <t>"754100 - Immobilisations incorporelles - OHADA"</t>
  </si>
  <si>
    <t>Immobilisations incorporelles</t>
  </si>
  <si>
    <t>754000 - Produits des cessions courantes d’immobilisations - OHADA</t>
  </si>
  <si>
    <t>754100</t>
  </si>
  <si>
    <t>"754200 - Immobilisations corporelles - OHADA"</t>
  </si>
  <si>
    <t>Immobilisations corporelles</t>
  </si>
  <si>
    <t>754000 - Produits des cessions courantes d’immobilisations - OHADA</t>
  </si>
  <si>
    <t>754200</t>
  </si>
  <si>
    <t>"756000 - Gains de change sur créances et dettes commerciales - OHADA"</t>
  </si>
  <si>
    <t>Gains de change sur créances et dettes commerciales</t>
  </si>
  <si>
    <t>75 - Autres produits - OHADA</t>
  </si>
  <si>
    <t>756000</t>
  </si>
  <si>
    <t>"758000 - Produits divers - OHADA"</t>
  </si>
  <si>
    <t>Produits divers</t>
  </si>
  <si>
    <t>75 - Autres produits - OHADA</t>
  </si>
  <si>
    <t>758000</t>
  </si>
  <si>
    <t>"758100 - Indemnités de fonction et autres rémunérations d’administrateurs - OHADA"</t>
  </si>
  <si>
    <t>Indemnités de fonction et autres rémunérations d’administrateurs</t>
  </si>
  <si>
    <t>758000 - Produits divers - OHADA</t>
  </si>
  <si>
    <t>758100</t>
  </si>
  <si>
    <t>"758200 - Indemnités d’assurances reçues - OHADA"</t>
  </si>
  <si>
    <t>Indemnités d’assurances reçues</t>
  </si>
  <si>
    <t>758000 - Produits divers - OHADA</t>
  </si>
  <si>
    <t>758200</t>
  </si>
  <si>
    <t>"758800 - Autres produits divers - OHADA"</t>
  </si>
  <si>
    <t>Autres produits divers</t>
  </si>
  <si>
    <t>758000 - Produits divers - OHADA</t>
  </si>
  <si>
    <t>758800</t>
  </si>
  <si>
    <t>"759000 - Reprises de charges pour dépréciations et provisions pour risques à court terme d’exploitation - OHADA"</t>
  </si>
  <si>
    <t>Reprises de charges pour dépréciations et provisions pour risques à court terme d’exploitation</t>
  </si>
  <si>
    <t>75 - Autres produits - OHADA</t>
  </si>
  <si>
    <t>759000</t>
  </si>
  <si>
    <t>"759100 - Sur risques à court terme - OHADA"</t>
  </si>
  <si>
    <t>Sur risques à court terme</t>
  </si>
  <si>
    <t>759000 - Reprises de charges pour dépréciations et provisions pour risques à court terme d’exploitation - OHADA</t>
  </si>
  <si>
    <t>759100</t>
  </si>
  <si>
    <t>"759300 - Sur stocks - OHADA"</t>
  </si>
  <si>
    <t>Sur stocks</t>
  </si>
  <si>
    <t>759000 - Reprises de charges pour dépréciations et provisions pour risques à court terme d’exploitation - OHADA</t>
  </si>
  <si>
    <t>759300</t>
  </si>
  <si>
    <t>"759400 - Sur créances - OHADA"</t>
  </si>
  <si>
    <t>Sur créances</t>
  </si>
  <si>
    <t>759000 - Reprises de charges pour dépréciations et provisions pour risques à court terme d’exploitation - OHADA</t>
  </si>
  <si>
    <t>759400</t>
  </si>
  <si>
    <t>"759800 - Sur autres charges pour dépréciations et provisions pour risques à court terme d’exploitation - OHADA"</t>
  </si>
  <si>
    <t>Sur autres charges pour dépréciations et provisions pour risques à court terme d’exploitation</t>
  </si>
  <si>
    <t>759000 - Reprises de charges pour dépréciations et provisions pour risques à court terme d’exploitation - OHADA</t>
  </si>
  <si>
    <t>759800</t>
  </si>
  <si>
    <t>"77 - Revenus financiers et produits assimilés - OHADA"</t>
  </si>
  <si>
    <t>Revenus financiers et produits assimilés</t>
  </si>
  <si>
    <t>7 - Comptes de produits des activités ordinaires - OHADA</t>
  </si>
  <si>
    <t>77</t>
  </si>
  <si>
    <t>"771000 - Intérêts de prêts et créances diverses - OHADA"</t>
  </si>
  <si>
    <t>Intérêts de prêts et créances diverses</t>
  </si>
  <si>
    <t>77 - Revenus financiers et produits assimilés - OHADA</t>
  </si>
  <si>
    <t>771000</t>
  </si>
  <si>
    <t>"771200 - Intérêts de prêts - OHADA"</t>
  </si>
  <si>
    <t>Intérêts de prêts</t>
  </si>
  <si>
    <t>771000 - Intérêts de prêts et créances diverses - OHADA</t>
  </si>
  <si>
    <t>771200</t>
  </si>
  <si>
    <t>"771300 - Intérêts sur créances diverses - OHADA"</t>
  </si>
  <si>
    <t>Intérêts sur créances diverses</t>
  </si>
  <si>
    <t>771000 - Intérêts de prêts et créances diverses - OHADA</t>
  </si>
  <si>
    <t>771300</t>
  </si>
  <si>
    <t>"772000 - Revenus de participations et autres titres immobilisés - OHADA"</t>
  </si>
  <si>
    <t>Revenus de participations et autres titres immobilisés</t>
  </si>
  <si>
    <t>77 - Revenus financiers et produits assimilés - OHADA</t>
  </si>
  <si>
    <t>772000</t>
  </si>
  <si>
    <t>"772100 - Revenus des titres de participation - OHADA"</t>
  </si>
  <si>
    <t>Revenus des titres de participation</t>
  </si>
  <si>
    <t>772000 - Revenus de participations et autres titres immobilisés - OHADA</t>
  </si>
  <si>
    <t>772100</t>
  </si>
  <si>
    <t>"772200 - Revenus autres titres immobilisés - OHADA"</t>
  </si>
  <si>
    <t>Revenus autres titres immobilisés</t>
  </si>
  <si>
    <t>772000 - Revenus de participations et autres titres immobilisés - OHADA</t>
  </si>
  <si>
    <t>772200</t>
  </si>
  <si>
    <t>"773000 - Escomptes obtenus - OHADA"</t>
  </si>
  <si>
    <t>Escomptes obtenus</t>
  </si>
  <si>
    <t>77 - Revenus financiers et produits assimilés - OHADA</t>
  </si>
  <si>
    <t>773000</t>
  </si>
  <si>
    <t>"774000 - Revenus de placement - OHADA"</t>
  </si>
  <si>
    <t>Revenus de placement</t>
  </si>
  <si>
    <t>77 - Revenus financiers et produits assimilés - OHADA</t>
  </si>
  <si>
    <t>774000</t>
  </si>
  <si>
    <t>"774500 - Revenus des obligations - OHADA"</t>
  </si>
  <si>
    <t>Revenus des obligations</t>
  </si>
  <si>
    <t>774000 - Revenus de placement - OHADA</t>
  </si>
  <si>
    <t>774500</t>
  </si>
  <si>
    <t>"774600 - Revenus des titres de placement - OHADA"</t>
  </si>
  <si>
    <t>Revenus des titres de placement</t>
  </si>
  <si>
    <t>774000 - Revenus de placement - OHADA</t>
  </si>
  <si>
    <t>774600</t>
  </si>
  <si>
    <t>"775000 - Intérêts dans loyers de location acquisition - OHADA"</t>
  </si>
  <si>
    <t>Intérêts dans loyers de location acquisition</t>
  </si>
  <si>
    <t>77 - Revenus financiers et produits assimilés - OHADA</t>
  </si>
  <si>
    <t>775000</t>
  </si>
  <si>
    <t>"776000 - Gains de change financiers - OHADA"</t>
  </si>
  <si>
    <t>Gains de change financiers</t>
  </si>
  <si>
    <t>77 - Revenus financiers et produits assimilés - OHADA</t>
  </si>
  <si>
    <t>776000</t>
  </si>
  <si>
    <t>"777000 - Gains sur cessions de titres de placement - OHADA"</t>
  </si>
  <si>
    <t>Gains sur cessions de titres de placement</t>
  </si>
  <si>
    <t>77 - Revenus financiers et produits assimilés - OHADA</t>
  </si>
  <si>
    <t>777000</t>
  </si>
  <si>
    <t>"778000 - Gains sur risques financiers - OHADA"</t>
  </si>
  <si>
    <t>Gains sur risques financiers</t>
  </si>
  <si>
    <t>77 - Revenus financiers et produits assimilés - OHADA</t>
  </si>
  <si>
    <t>778000</t>
  </si>
  <si>
    <t>"778100 - Sur rentes viagères - OHADA"</t>
  </si>
  <si>
    <t>Sur rentes viagères</t>
  </si>
  <si>
    <t>778000 - Gains sur risques financiers - OHADA</t>
  </si>
  <si>
    <t>778100</t>
  </si>
  <si>
    <t>"778200 - Sur opérations financières - OHADA"</t>
  </si>
  <si>
    <t>Sur opérations financières</t>
  </si>
  <si>
    <t>778000 - Gains sur risques financiers - OHADA</t>
  </si>
  <si>
    <t>778200</t>
  </si>
  <si>
    <t>"778400 - Sur instruments de trésorerie - OHADA"</t>
  </si>
  <si>
    <t>Sur instruments de trésorerie</t>
  </si>
  <si>
    <t>778000 - Gains sur risques financiers - OHADA</t>
  </si>
  <si>
    <t>778400</t>
  </si>
  <si>
    <t>"779000 - Reprises de charges pour dépréciations et provisions à court terme financières - OHADA"</t>
  </si>
  <si>
    <t>Reprises de charges pour dépréciations et provisions à court terme financières</t>
  </si>
  <si>
    <t>77 - Revenus financiers et produits assimilés - OHADA</t>
  </si>
  <si>
    <t>779000</t>
  </si>
  <si>
    <t>"779100 - Sur risques financiers - OHADA"</t>
  </si>
  <si>
    <t>Sur risques financiers</t>
  </si>
  <si>
    <t>779000 - Reprises de charges pour dépréciations et provisions à court terme financières - OHADA</t>
  </si>
  <si>
    <t>779100</t>
  </si>
  <si>
    <t>"779500 - Sur titres de placement - OHADA"</t>
  </si>
  <si>
    <t>Sur titres de placement</t>
  </si>
  <si>
    <t>779000 - Reprises de charges pour dépréciations et provisions à court terme financières - OHADA</t>
  </si>
  <si>
    <t>779500</t>
  </si>
  <si>
    <t>"779800 - Sur autres charges pour dépréciations et provisions pour risques à court terme financières - OHADA"</t>
  </si>
  <si>
    <t>Sur autres charges pour dépréciations et provisions pour risques à court terme financières</t>
  </si>
  <si>
    <t>779000 - Reprises de charges pour dépréciations et provisions à court terme financières - OHADA</t>
  </si>
  <si>
    <t>779800</t>
  </si>
  <si>
    <t>"78 - Transferts de charges - OHADA"</t>
  </si>
  <si>
    <t>Transferts de charges</t>
  </si>
  <si>
    <t>7 - Comptes de produits des activités ordinaires - OHADA</t>
  </si>
  <si>
    <t>78</t>
  </si>
  <si>
    <t>"781000 - Transferts de charges d’exploitation - OHADA"</t>
  </si>
  <si>
    <t>Transferts de charges d’exploitation</t>
  </si>
  <si>
    <t>78 - Transferts de charges - OHADA</t>
  </si>
  <si>
    <t>781000</t>
  </si>
  <si>
    <t>"787000 - Transferts de charges financières - OHADA"</t>
  </si>
  <si>
    <t>Transferts de charges financières</t>
  </si>
  <si>
    <t>78 - Transferts de charges - OHADA</t>
  </si>
  <si>
    <t>787000</t>
  </si>
  <si>
    <t>"79 - Reprises de provisions, de dépréciations et autres - OHADA"</t>
  </si>
  <si>
    <t>Reprises de provisions, de dépréciations et autres</t>
  </si>
  <si>
    <t>7 - Comptes de produits des activités ordinaires - OHADA</t>
  </si>
  <si>
    <t>79</t>
  </si>
  <si>
    <t>"791000 - Reprises de provisions et dépréciations d’exploitation - OHADA"</t>
  </si>
  <si>
    <t>Reprises de provisions et dépréciations d’exploitation</t>
  </si>
  <si>
    <t>79 - Reprises de provisions, de dépréciations et autres - OHADA</t>
  </si>
  <si>
    <t>791000</t>
  </si>
  <si>
    <t>"791100 - Pour risques et charges - OHADA"</t>
  </si>
  <si>
    <t>Pour risques et charges</t>
  </si>
  <si>
    <t>791000 - Reprises de provisions et dépréciations d’exploitation - OHADA</t>
  </si>
  <si>
    <t>791100</t>
  </si>
  <si>
    <t>"791300 - Des immobilisations incorporelles - OHADA"</t>
  </si>
  <si>
    <t>Des immobilisations incorporelles</t>
  </si>
  <si>
    <t>791000 - Reprises de provisions et dépréciations d’exploitation - OHADA</t>
  </si>
  <si>
    <t>791300</t>
  </si>
  <si>
    <t>"791400 - Des immobilisations corporelles - OHADA"</t>
  </si>
  <si>
    <t>Des immobilisations corporelles</t>
  </si>
  <si>
    <t>791000 - Reprises de provisions et dépréciations d’exploitation - OHADA</t>
  </si>
  <si>
    <t>791400</t>
  </si>
  <si>
    <t>"797000 - Reprises de provisions et dépréciations financières - OHADA"</t>
  </si>
  <si>
    <t>Reprises de provisions et dépréciations financières</t>
  </si>
  <si>
    <t>79 - Reprises de provisions, de dépréciations et autres - OHADA</t>
  </si>
  <si>
    <t>797000</t>
  </si>
  <si>
    <t>"797100 - Pour risques et charges - OHADA"</t>
  </si>
  <si>
    <t>Pour risques et charges</t>
  </si>
  <si>
    <t>797000 - Reprises de provisions et dépréciations financières - OHADA</t>
  </si>
  <si>
    <t>797100</t>
  </si>
  <si>
    <t>"797200 - Des immobilisations financières - OHADA"</t>
  </si>
  <si>
    <t>Des immobilisations financières</t>
  </si>
  <si>
    <t>797000 - Reprises de provisions et dépréciations financières - OHADA</t>
  </si>
  <si>
    <t>797200</t>
  </si>
  <si>
    <t>"798000 - Reprises d’amortissements - OHADA"</t>
  </si>
  <si>
    <t>Reprises d’amortissements</t>
  </si>
  <si>
    <t>79 - Reprises de provisions, de dépréciations et autres - OHADA</t>
  </si>
  <si>
    <t>798000</t>
  </si>
  <si>
    <t>"799000 - Reprises de subventions d’investissement - OHADA"</t>
  </si>
  <si>
    <t>Reprises de subventions d’investissement</t>
  </si>
  <si>
    <t>79 - Reprises de provisions, de dépréciations et autres - OHADA</t>
  </si>
  <si>
    <t>799000</t>
  </si>
  <si>
    <t>"8-Comptes des autres charges et des autres produits (CHARGES) - OHADA"</t>
  </si>
  <si>
    <t>8-Comptes des autres charges et des autres produits (CHARGES)</t>
  </si>
  <si>
    <t>"81 - Valeurs comptables des cessions d’immobilisations - OHADA"</t>
  </si>
  <si>
    <t>Valeurs comptables des cessions d’immobilisations</t>
  </si>
  <si>
    <t>8-Comptes des autres charges et des autres produits (CHARGES) - OHADA</t>
  </si>
  <si>
    <t>81</t>
  </si>
  <si>
    <t>"811000 - Immobilisations incorporelles - OHADA"</t>
  </si>
  <si>
    <t>Immobilisations incorporelles</t>
  </si>
  <si>
    <t>81 - Valeurs comptables des cessions d’immobilisations - OHADA</t>
  </si>
  <si>
    <t>811000</t>
  </si>
  <si>
    <t>"812000 - Immobilisations corporelles - OHADA"</t>
  </si>
  <si>
    <t>Immobilisations corporelles</t>
  </si>
  <si>
    <t>81 - Valeurs comptables des cessions d’immobilisations - OHADA</t>
  </si>
  <si>
    <t>812000</t>
  </si>
  <si>
    <t>"816000 - Immobilisations financières - OHADA"</t>
  </si>
  <si>
    <t>Immobilisations financières</t>
  </si>
  <si>
    <t>81 - Valeurs comptables des cessions d’immobilisations - OHADA</t>
  </si>
  <si>
    <t>816000</t>
  </si>
  <si>
    <t>"83 - Charges hors activités ordinaires - OHADA"</t>
  </si>
  <si>
    <t>Charges hors activités ordinaires</t>
  </si>
  <si>
    <t>8-Comptes des autres charges et des autres produits (CHARGES) - OHADA</t>
  </si>
  <si>
    <t>83</t>
  </si>
  <si>
    <t>"831000 - Charges HAO constatées - OHADA"</t>
  </si>
  <si>
    <t>Charges HAO constatées</t>
  </si>
  <si>
    <t>83 - Charges hors activités ordinaires - OHADA</t>
  </si>
  <si>
    <t>831000</t>
  </si>
  <si>
    <t>"833000 - Charges liées aux opérations de restructuration - OHADA"</t>
  </si>
  <si>
    <t>Charges liées aux opérations de restructuration</t>
  </si>
  <si>
    <t>83 - Charges hors activités ordinaires - OHADA</t>
  </si>
  <si>
    <t>833000</t>
  </si>
  <si>
    <t>"834000 - Pertes sur créances HAO - OHADA"</t>
  </si>
  <si>
    <t>Pertes sur créances HAO</t>
  </si>
  <si>
    <t>83 - Charges hors activités ordinaires - OHADA</t>
  </si>
  <si>
    <t>834000</t>
  </si>
  <si>
    <t>"835000 - Dons et libéralités accordés - OHADA"</t>
  </si>
  <si>
    <t>Dons et libéralités accordés</t>
  </si>
  <si>
    <t>83 - Charges hors activités ordinaires - OHADA</t>
  </si>
  <si>
    <t>835000</t>
  </si>
  <si>
    <t>"836000 - Abandons de créances consentis - OHADA"</t>
  </si>
  <si>
    <t>Abandons de créances consentis</t>
  </si>
  <si>
    <t>83 - Charges hors activités ordinaires - OHADA</t>
  </si>
  <si>
    <t>836000</t>
  </si>
  <si>
    <t>"837000 - Charges liées aux opérations de liquidation - OHADA"</t>
  </si>
  <si>
    <t>Charges liées aux opérations de liquidation</t>
  </si>
  <si>
    <t>83 - Charges hors activités ordinaires - OHADA</t>
  </si>
  <si>
    <t>837000</t>
  </si>
  <si>
    <t>"839000 - Charges pour dépréciations et provisions pour risques à court terme HAO - OHADA"</t>
  </si>
  <si>
    <t>Charges pour dépréciations et provisions pour risques à court terme HAO</t>
  </si>
  <si>
    <t>83 - Charges hors activités ordinaires - OHADA</t>
  </si>
  <si>
    <t>839000</t>
  </si>
  <si>
    <t>"85 - Dotations hors activités ordinaires - OHADA"</t>
  </si>
  <si>
    <t>Dotations hors activités ordinaires</t>
  </si>
  <si>
    <t>8-Comptes des autres charges et des autres produits (CHARGES) - OHADA</t>
  </si>
  <si>
    <t>85</t>
  </si>
  <si>
    <t>"851000 - Dotations aux provisions réglementées - OHADA"</t>
  </si>
  <si>
    <t>Dotations aux provisions réglementées</t>
  </si>
  <si>
    <t>85 - Dotations hors activités ordinaires - OHADA</t>
  </si>
  <si>
    <t>851000</t>
  </si>
  <si>
    <t>"852000 - Dotations aux amortissements HAO - OHADA"</t>
  </si>
  <si>
    <t>Dotations aux amortissements HAO</t>
  </si>
  <si>
    <t>85 - Dotations hors activités ordinaires - OHADA</t>
  </si>
  <si>
    <t>852000</t>
  </si>
  <si>
    <t>"853000 - Dotations aux dépréciations HAO - OHADA"</t>
  </si>
  <si>
    <t>Dotations aux dépréciations HAO</t>
  </si>
  <si>
    <t>85 - Dotations hors activités ordinaires - OHADA</t>
  </si>
  <si>
    <t>853000</t>
  </si>
  <si>
    <t>"854000 - Dotations aux provisions pour risques et charges HAO - OHADA"</t>
  </si>
  <si>
    <t>Dotations aux provisions pour risques et charges HAO</t>
  </si>
  <si>
    <t>85 - Dotations hors activités ordinaires - OHADA</t>
  </si>
  <si>
    <t>854000</t>
  </si>
  <si>
    <t>"858000 - Autres dotations HAO - OHADA"</t>
  </si>
  <si>
    <t>Autres dotations HAO</t>
  </si>
  <si>
    <t>85 - Dotations hors activités ordinaires - OHADA</t>
  </si>
  <si>
    <t>858000</t>
  </si>
  <si>
    <t>"87 - Participation des travailleurs - OHADA"</t>
  </si>
  <si>
    <t>Participation des travailleurs</t>
  </si>
  <si>
    <t>8-Comptes des autres charges et des autres produits (CHARGES) - OHADA</t>
  </si>
  <si>
    <t>87</t>
  </si>
  <si>
    <t>"871000 - Participation légale aux bénéfices - OHADA"</t>
  </si>
  <si>
    <t>Participation légale aux bénéfices</t>
  </si>
  <si>
    <t>87 - Participation des travailleurs - OHADA</t>
  </si>
  <si>
    <t>871000</t>
  </si>
  <si>
    <t>"874000 - Participation contractuelle aux bénéfices - OHADA"</t>
  </si>
  <si>
    <t>Participation contractuelle aux bénéfices</t>
  </si>
  <si>
    <t>87 - Participation des travailleurs - OHADA</t>
  </si>
  <si>
    <t>874000</t>
  </si>
  <si>
    <t>"878000 - Autres participations - OHADA"</t>
  </si>
  <si>
    <t>Autres participations</t>
  </si>
  <si>
    <t>87 - Participation des travailleurs - OHADA</t>
  </si>
  <si>
    <t>878000</t>
  </si>
  <si>
    <t>"89 - Impôts sur le résultat - OHADA"</t>
  </si>
  <si>
    <t>Impôts sur le résultat</t>
  </si>
  <si>
    <t>8-Comptes des autres charges et des autres produits (CHARGES) - OHADA</t>
  </si>
  <si>
    <t>89</t>
  </si>
  <si>
    <t>"891000 - Impôts sur les bénéfices de l’exercice - OHADA"</t>
  </si>
  <si>
    <t>Impôts sur les bénéfices de l’exercice</t>
  </si>
  <si>
    <t>89 - Impôts sur le résultat - OHADA</t>
  </si>
  <si>
    <t>891000</t>
  </si>
  <si>
    <t>"891100 - Activités exercées dans l’État - OHADA"</t>
  </si>
  <si>
    <t>Activités exercées dans l’État</t>
  </si>
  <si>
    <t>891000 - Impôts sur les bénéfices de l’exercice - OHADA</t>
  </si>
  <si>
    <t>891100</t>
  </si>
  <si>
    <t>"891200 - Activités exercées dans les autres États de la Région - OHADA"</t>
  </si>
  <si>
    <t>Activités exercées dans les autres États de la Région</t>
  </si>
  <si>
    <t>891000 - Impôts sur les bénéfices de l’exercice - OHADA</t>
  </si>
  <si>
    <t>891200</t>
  </si>
  <si>
    <t>"891300 - Activités exercées hors Région - OHADA"</t>
  </si>
  <si>
    <t>Activités exercées hors Région</t>
  </si>
  <si>
    <t>891000 - Impôts sur les bénéfices de l’exercice - OHADA</t>
  </si>
  <si>
    <t>891300</t>
  </si>
  <si>
    <t>"892000 - Rappel d’impôts sur résultats antérieurs - OHADA"</t>
  </si>
  <si>
    <t>Rappel d’impôts sur résultats antérieurs</t>
  </si>
  <si>
    <t>89 - Impôts sur le résultat - OHADA</t>
  </si>
  <si>
    <t>892000</t>
  </si>
  <si>
    <t>"895000 - Impôt minimum forfaitaire IMF - OHADA"</t>
  </si>
  <si>
    <t>Impôt minimum forfaitaire IMF</t>
  </si>
  <si>
    <t>89 - Impôts sur le résultat - OHADA</t>
  </si>
  <si>
    <t>895000</t>
  </si>
  <si>
    <t>"899000 - Dégrèvements et annulations d’impôts sur résultats antérieurs - OHADA"</t>
  </si>
  <si>
    <t>Dégrèvements et annulations d’impôts sur résultats antérieurs</t>
  </si>
  <si>
    <t>89 - Impôts sur le résultat - OHADA</t>
  </si>
  <si>
    <t>899000</t>
  </si>
  <si>
    <t>"899100 - Dégrèvements - OHADA"</t>
  </si>
  <si>
    <t>Dégrèvements</t>
  </si>
  <si>
    <t>899000 - Dégrèvements et annulations d’impôts sur résultats antérieurs - OHADA</t>
  </si>
  <si>
    <t>899100</t>
  </si>
  <si>
    <t>"899400 - Annulations pour pertes rétroactives - OHADA"</t>
  </si>
  <si>
    <t>Annulations pour pertes rétroactives</t>
  </si>
  <si>
    <t>899000 - Dégrèvements et annulations d’impôts sur résultats antérieurs - OHADA</t>
  </si>
  <si>
    <t>899400</t>
  </si>
  <si>
    <t>"8-Comptes des autres charges et des autres produits (PRODUITS) - OHADA"</t>
  </si>
  <si>
    <t>8-Comptes des autres charges et des autres produits (PRODUITS)</t>
  </si>
  <si>
    <t>"82 - Produits des cessions d’immobilisations - OHADA"</t>
  </si>
  <si>
    <t>Produits des cessions d’immobilisations</t>
  </si>
  <si>
    <t>8-Comptes des autres charges et des autres produits (PRODUITS) - OHADA</t>
  </si>
  <si>
    <t>82</t>
  </si>
  <si>
    <t>"821000 - Immobilisations incorporelles - OHADA"</t>
  </si>
  <si>
    <t>Immobilisations incorporelles</t>
  </si>
  <si>
    <t>82 - Produits des cessions d’immobilisations - OHADA</t>
  </si>
  <si>
    <t>821000</t>
  </si>
  <si>
    <t>"822000 - Immobilisations corporelles - OHADA"</t>
  </si>
  <si>
    <t>Immobilisations corporelles</t>
  </si>
  <si>
    <t>82 - Produits des cessions d’immobilisations - OHADA</t>
  </si>
  <si>
    <t>822000</t>
  </si>
  <si>
    <t>"826000 - Immobilisations financières - OHADA"</t>
  </si>
  <si>
    <t>Immobilisations financières</t>
  </si>
  <si>
    <t>82 - Produits des cessions d’immobilisations - OHADA</t>
  </si>
  <si>
    <t>826000</t>
  </si>
  <si>
    <t>"84 - Produits hors activités ordinaires - OHADA"</t>
  </si>
  <si>
    <t>Produits hors activités ordinaires</t>
  </si>
  <si>
    <t>8-Comptes des autres charges et des autres produits (PRODUITS) - OHADA</t>
  </si>
  <si>
    <t>84</t>
  </si>
  <si>
    <t>"841000 - Produits HAO constatés - OHADA"</t>
  </si>
  <si>
    <t>Produits HAO constatés</t>
  </si>
  <si>
    <t>84 - Produits hors activités ordinaires - OHADA</t>
  </si>
  <si>
    <t>841000</t>
  </si>
  <si>
    <t>"843000 - Produits liés aux opérations de restructuration - OHADA"</t>
  </si>
  <si>
    <t>Produits liés aux opérations de restructuration</t>
  </si>
  <si>
    <t>84 - Produits hors activités ordinaires - OHADA</t>
  </si>
  <si>
    <t>843000</t>
  </si>
  <si>
    <t>"844000 - Indemnités et subventions HAO (entité agricole) - OHADA"</t>
  </si>
  <si>
    <t>Indemnités et subventions HAO (entité agricole)</t>
  </si>
  <si>
    <t>84 - Produits hors activités ordinaires - OHADA</t>
  </si>
  <si>
    <t>844000</t>
  </si>
  <si>
    <t>"845000 - Dons et libéralités obtenus - OHADA"</t>
  </si>
  <si>
    <t>Dons et libéralités obtenus</t>
  </si>
  <si>
    <t>84 - Produits hors activités ordinaires - OHADA</t>
  </si>
  <si>
    <t>845000</t>
  </si>
  <si>
    <t>"846000 - Abandons de créances obtenus - OHADA"</t>
  </si>
  <si>
    <t>Abandons de créances obtenus</t>
  </si>
  <si>
    <t>84 - Produits hors activités ordinaires - OHADA</t>
  </si>
  <si>
    <t>846000</t>
  </si>
  <si>
    <t>"847000 - Produits liés aux opérations de liquidation - OHADA"</t>
  </si>
  <si>
    <t>Produits liés aux opérations de liquidation</t>
  </si>
  <si>
    <t>84 - Produits hors activités ordinaires - OHADA</t>
  </si>
  <si>
    <t>847000</t>
  </si>
  <si>
    <t>"848000 - Transferts de charges HAO - OHADA"</t>
  </si>
  <si>
    <t>Transferts de charges HAO</t>
  </si>
  <si>
    <t>84 - Produits hors activités ordinaires - OHADA</t>
  </si>
  <si>
    <t>848000</t>
  </si>
  <si>
    <t>"849000 - Reprises de charges pour dépréciations et provisions pour risques à court terme HAO - OHADA"</t>
  </si>
  <si>
    <t>Reprises de charges pour dépréciations et provisions pour risques à court terme HAO</t>
  </si>
  <si>
    <t>84 - Produits hors activités ordinaires - OHADA</t>
  </si>
  <si>
    <t>849000</t>
  </si>
  <si>
    <t>"86 - Reprises de charges, provisions et dépréciations HAO - OHADA"</t>
  </si>
  <si>
    <t>Reprises de charges, provisions et dépréciations HAO</t>
  </si>
  <si>
    <t>8-Comptes des autres charges et des autres produits (PRODUITS) - OHADA</t>
  </si>
  <si>
    <t>86</t>
  </si>
  <si>
    <t>"861000 - Reprises de provisions réglementées - OHADA"</t>
  </si>
  <si>
    <t>Reprises de provisions réglementées</t>
  </si>
  <si>
    <t>86 - Reprises de charges, provisions et dépréciations HAO - OHADA</t>
  </si>
  <si>
    <t>861000</t>
  </si>
  <si>
    <t>"862000 - Reprises d’amortissements HAO - OHADA"</t>
  </si>
  <si>
    <t>Reprises d’amortissements HAO</t>
  </si>
  <si>
    <t>86 - Reprises de charges, provisions et dépréciations HAO - OHADA</t>
  </si>
  <si>
    <t>862000</t>
  </si>
  <si>
    <t>"863000 - Reprises de dépréciations HAO - OHADA"</t>
  </si>
  <si>
    <t>Reprises de dépréciations HAO</t>
  </si>
  <si>
    <t>86 - Reprises de charges, provisions et dépréciations HAO - OHADA</t>
  </si>
  <si>
    <t>863000</t>
  </si>
  <si>
    <t>"864000 - Reprises de provisions pour risques et charges HAO - OHADA"</t>
  </si>
  <si>
    <t>Reprises de provisions pour risques et charges HAO</t>
  </si>
  <si>
    <t>86 - Reprises de charges, provisions et dépréciations HAO - OHADA</t>
  </si>
  <si>
    <t>864000</t>
  </si>
  <si>
    <t>"868000 - Autres reprises HAO - OHADA"</t>
  </si>
  <si>
    <t>Autres reprises HAO</t>
  </si>
  <si>
    <t>86 - Reprises de charges, provisions et dépréciations HAO - OHADA</t>
  </si>
  <si>
    <t>868000</t>
  </si>
  <si>
    <t>"88 - Subventions d’équilibre - OHADA"</t>
  </si>
  <si>
    <t>Subventions d’équilibre</t>
  </si>
  <si>
    <t>8-Comptes des autres charges et des autres produits (PRODUITS) - OHADA</t>
  </si>
  <si>
    <t>88</t>
  </si>
  <si>
    <t>"881000 - État - OHADA"</t>
  </si>
  <si>
    <t>État</t>
  </si>
  <si>
    <t>88 - Subventions d’équilibre - OHADA</t>
  </si>
  <si>
    <t>881000</t>
  </si>
  <si>
    <t>"884000 - Collectivités publiques - OHADA"</t>
  </si>
  <si>
    <t>Collectivités publiques</t>
  </si>
  <si>
    <t>88 - Subventions d’équilibre - OHADA</t>
  </si>
  <si>
    <t>884000</t>
  </si>
  <si>
    <t>"886000 - Groupe - OHADA"</t>
  </si>
  <si>
    <t>Groupe</t>
  </si>
  <si>
    <t>88 - Subventions d’équilibre - OHADA</t>
  </si>
  <si>
    <t>886000</t>
  </si>
  <si>
    <t>"888000 - Autres - OHADA"</t>
  </si>
  <si>
    <t>Autres</t>
  </si>
  <si>
    <t>88 - Subventions d’équilibre - OHADA</t>
  </si>
  <si>
    <t>888000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</si>
</sst>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Calibri"/>
      <family val="2"/>
      <color rgb="FF000000"/>
      <sz val="11"/>
      <extLst>
        <ext uri="smNativeData">
          <pm:charSpec xmlns:pm="smNativeData" id="178879242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879242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8792426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879242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79242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79242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 customBuiltin="1"/>
  </cellStyles>
  <tableStyles count="0"/>
  <extLst>
    <ext uri="smNativeData">
      <pm:charStyles xmlns:pm="smNativeData" id="178879242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5" Type="http://schemas.openxmlformats.org/officeDocument/2006/relationships/worksheet" Target="worksheets/sheet1.xml"/></Relationships>
</file>

<file path=xl/externalLinks/_rels/externalLink1.xml.rels><?xml version="1.0" encoding="UTF-8" standalone="yes" ?>
<Relationships xmlns="http://schemas.openxmlformats.org/package/2006/relationships"><Relationship Id="rId1" Type="http://schemas.openxmlformats.org/officeDocument/2006/relationships/externalLinkPath" Target="/home/agg-rey/Documents/projects/ms_steel/Accou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Export"/>
      <sheetName val="Data Export (2)"/>
      <sheetName val="Account category"/>
    </sheetNames>
    <sheetDataSet>
      <sheetData sheetId="0"/>
      <sheetData sheetId="1">
        <row r="1">
          <cell r="A1" t="str">
            <v>Column Labels:</v>
          </cell>
          <cell r="B1" t="str">
            <v>ID</v>
          </cell>
          <cell r="C1" t="str">
            <v>Account Name</v>
          </cell>
          <cell r="D1" t="str">
            <v>Company</v>
          </cell>
          <cell r="E1" t="str">
            <v>Parent Account</v>
          </cell>
          <cell r="F1" t="str">
            <v>Account Number</v>
          </cell>
          <cell r="G1" t="str">
            <v>Is Group</v>
          </cell>
          <cell r="H1" t="str">
            <v>Root Type</v>
          </cell>
          <cell r="I1" t="str">
            <v>Report Type</v>
          </cell>
          <cell r="J1" t="str">
            <v>Currency</v>
          </cell>
          <cell r="K1" t="str">
            <v>Account Category</v>
          </cell>
        </row>
        <row r="2">
          <cell r="A2" t="str">
            <v>A1</v>
          </cell>
          <cell r="B2" t="str">
            <v>"1 -  Comptes de ressources durables  -  OHADA"</v>
          </cell>
          <cell r="C2" t="str">
            <v>Comptes de ressources durables</v>
          </cell>
          <cell r="D2" t="str">
            <v>OHADA</v>
          </cell>
          <cell r="F2">
            <v>100000</v>
          </cell>
          <cell r="G2" t="str">
            <v>1</v>
          </cell>
          <cell r="H2" t="str">
            <v>Equity</v>
          </cell>
          <cell r="I2" t="str">
            <v>Balance Sheet</v>
          </cell>
          <cell r="J2" t="str">
            <v>XAF</v>
          </cell>
        </row>
        <row r="3">
          <cell r="A3" t="str">
            <v>A2</v>
          </cell>
          <cell r="B3" t="str">
            <v>"100000 - Capital - OHADA"</v>
          </cell>
          <cell r="C3" t="str">
            <v>Capital</v>
          </cell>
          <cell r="D3" t="str">
            <v>OHADA</v>
          </cell>
          <cell r="E3" t="str">
            <v>1 - Comptes de ressources durables - OHADA</v>
          </cell>
          <cell r="F3">
            <v>100000</v>
          </cell>
          <cell r="G3" t="str">
            <v>1</v>
          </cell>
          <cell r="H3" t="str">
            <v>Equity</v>
          </cell>
          <cell r="I3" t="str">
            <v>Balance Sheet</v>
          </cell>
          <cell r="J3" t="str">
            <v>XAF</v>
          </cell>
        </row>
        <row r="4">
          <cell r="A4" t="str">
            <v>A3</v>
          </cell>
          <cell r="B4" t="str">
            <v>"101000 - Capital social - OHADA"</v>
          </cell>
          <cell r="C4" t="str">
            <v>Capital social</v>
          </cell>
          <cell r="D4" t="str">
            <v>OHADA</v>
          </cell>
          <cell r="E4" t="str">
            <v>100000 - Capital - OHADA</v>
          </cell>
          <cell r="F4">
            <v>101000</v>
          </cell>
          <cell r="G4" t="str">
            <v>1</v>
          </cell>
          <cell r="H4" t="str">
            <v>Equity</v>
          </cell>
          <cell r="I4" t="str">
            <v>Balance Sheet</v>
          </cell>
          <cell r="J4" t="str">
            <v>XAF</v>
          </cell>
          <cell r="K4" t="str">
            <v>Capital</v>
          </cell>
        </row>
        <row r="5">
          <cell r="A5" t="str">
            <v>A4</v>
          </cell>
          <cell r="B5" t="str">
            <v>"101100 - Capital souscrit, non appelé - OHADA"</v>
          </cell>
          <cell r="C5" t="str">
            <v>Capital souscrit, non appelé</v>
          </cell>
          <cell r="D5" t="str">
            <v>OHADA</v>
          </cell>
          <cell r="E5" t="str">
            <v>101000 - Capital social - OHADA</v>
          </cell>
          <cell r="F5">
            <v>101100</v>
          </cell>
          <cell r="G5" t="str">
            <v>0</v>
          </cell>
          <cell r="H5" t="str">
            <v>Equity</v>
          </cell>
          <cell r="I5" t="str">
            <v>Balance Sheet</v>
          </cell>
          <cell r="J5" t="str">
            <v>XAF</v>
          </cell>
          <cell r="K5" t="str">
            <v>Capital</v>
          </cell>
        </row>
        <row r="6">
          <cell r="A6" t="str">
            <v>A5</v>
          </cell>
          <cell r="B6" t="str">
            <v>"101200 - Capital souscrit, appelé, non versé - OHADA"</v>
          </cell>
          <cell r="C6" t="str">
            <v>Capital souscrit, appelé, non versé</v>
          </cell>
          <cell r="D6" t="str">
            <v>OHADA</v>
          </cell>
          <cell r="E6" t="str">
            <v>101000 - Capital social - OHADA</v>
          </cell>
          <cell r="F6">
            <v>101200</v>
          </cell>
          <cell r="G6" t="str">
            <v>0</v>
          </cell>
          <cell r="H6" t="str">
            <v>Equity</v>
          </cell>
          <cell r="I6" t="str">
            <v>Balance Sheet</v>
          </cell>
          <cell r="J6" t="str">
            <v>XAF</v>
          </cell>
          <cell r="K6" t="str">
            <v>Capital</v>
          </cell>
        </row>
        <row r="7">
          <cell r="A7" t="str">
            <v>A6</v>
          </cell>
          <cell r="B7" t="str">
            <v>"101300 - Capital souscrit, appelé, versé, non amorti - OHADA"</v>
          </cell>
          <cell r="C7" t="str">
            <v>Capital souscrit, appelé, versé, non amorti</v>
          </cell>
          <cell r="D7" t="str">
            <v>OHADA</v>
          </cell>
          <cell r="E7" t="str">
            <v>101000 - Capital social - OHADA</v>
          </cell>
          <cell r="F7">
            <v>101300</v>
          </cell>
          <cell r="G7" t="str">
            <v>0</v>
          </cell>
          <cell r="H7" t="str">
            <v>Equity</v>
          </cell>
          <cell r="I7" t="str">
            <v>Balance Sheet</v>
          </cell>
          <cell r="J7" t="str">
            <v>XAF</v>
          </cell>
          <cell r="K7" t="str">
            <v>Capital</v>
          </cell>
        </row>
        <row r="8">
          <cell r="A8" t="str">
            <v>A7</v>
          </cell>
          <cell r="B8" t="str">
            <v>"101400 - Capital souscrit, appelé, versé, amorti - OHADA"</v>
          </cell>
          <cell r="C8" t="str">
            <v>Capital souscrit, appelé, versé, amorti</v>
          </cell>
          <cell r="D8" t="str">
            <v>OHADA</v>
          </cell>
          <cell r="E8" t="str">
            <v>101000 - Capital social - OHADA</v>
          </cell>
          <cell r="F8">
            <v>101400</v>
          </cell>
          <cell r="G8" t="str">
            <v>0</v>
          </cell>
          <cell r="H8" t="str">
            <v>Equity</v>
          </cell>
          <cell r="I8" t="str">
            <v>Balance Sheet</v>
          </cell>
          <cell r="J8" t="str">
            <v>XAF</v>
          </cell>
          <cell r="K8" t="str">
            <v>Capital</v>
          </cell>
        </row>
        <row r="9">
          <cell r="A9" t="str">
            <v>A8</v>
          </cell>
          <cell r="B9" t="str">
            <v>"101800 - Capital souscrit soumis à des conditions particulières - OHADA"</v>
          </cell>
          <cell r="C9" t="str">
            <v>Capital souscrit soumis à des conditions particulières</v>
          </cell>
          <cell r="D9" t="str">
            <v>OHADA</v>
          </cell>
          <cell r="E9" t="str">
            <v>101000 - Capital social - OHADA</v>
          </cell>
          <cell r="F9">
            <v>101800</v>
          </cell>
          <cell r="G9" t="str">
            <v>0</v>
          </cell>
          <cell r="H9" t="str">
            <v>Equity</v>
          </cell>
          <cell r="I9" t="str">
            <v>Balance Sheet</v>
          </cell>
          <cell r="J9" t="str">
            <v>XAF</v>
          </cell>
          <cell r="K9" t="str">
            <v>Capital</v>
          </cell>
        </row>
        <row r="10">
          <cell r="A10" t="str">
            <v>A9</v>
          </cell>
          <cell r="B10" t="str">
            <v>"102000 - Capital par dotation - OHADA"</v>
          </cell>
          <cell r="C10" t="str">
            <v>Capital par dotation</v>
          </cell>
          <cell r="D10" t="str">
            <v>OHADA</v>
          </cell>
          <cell r="E10" t="str">
            <v>100000 - Capital - OHADA</v>
          </cell>
          <cell r="F10">
            <v>102000</v>
          </cell>
          <cell r="G10" t="str">
            <v>1</v>
          </cell>
          <cell r="H10" t="str">
            <v>Equity</v>
          </cell>
          <cell r="I10" t="str">
            <v>Balance Sheet</v>
          </cell>
          <cell r="J10" t="str">
            <v>XAF</v>
          </cell>
          <cell r="K10" t="str">
            <v>Capital</v>
          </cell>
        </row>
        <row r="11">
          <cell r="A11" t="str">
            <v>A10</v>
          </cell>
          <cell r="B11" t="str">
            <v>"102100 - Dotation initiale - OHADA"</v>
          </cell>
          <cell r="C11" t="str">
            <v>Dotation initiale</v>
          </cell>
          <cell r="D11" t="str">
            <v>OHADA</v>
          </cell>
          <cell r="E11" t="str">
            <v>102000 - Capital par dotation - OHADA</v>
          </cell>
          <cell r="F11">
            <v>102100</v>
          </cell>
          <cell r="G11" t="str">
            <v>0</v>
          </cell>
          <cell r="H11" t="str">
            <v>Equity</v>
          </cell>
          <cell r="I11" t="str">
            <v>Balance Sheet</v>
          </cell>
          <cell r="J11" t="str">
            <v>XAF</v>
          </cell>
          <cell r="K11" t="str">
            <v>Capital</v>
          </cell>
        </row>
        <row r="12">
          <cell r="A12" t="str">
            <v>A11</v>
          </cell>
          <cell r="B12" t="str">
            <v>"102200 - Dotations complémentaires - OHADA"</v>
          </cell>
          <cell r="C12" t="str">
            <v>Dotations complémentaires</v>
          </cell>
          <cell r="D12" t="str">
            <v>OHADA</v>
          </cell>
          <cell r="E12" t="str">
            <v>102000 - Capital par dotation - OHADA</v>
          </cell>
          <cell r="F12">
            <v>102200</v>
          </cell>
          <cell r="G12" t="str">
            <v>0</v>
          </cell>
          <cell r="H12" t="str">
            <v>Equity</v>
          </cell>
          <cell r="I12" t="str">
            <v>Balance Sheet</v>
          </cell>
          <cell r="J12" t="str">
            <v>XAF</v>
          </cell>
          <cell r="K12" t="str">
            <v>Capital</v>
          </cell>
        </row>
        <row r="13">
          <cell r="A13" t="str">
            <v>A12</v>
          </cell>
          <cell r="B13" t="str">
            <v>"102800 - Autres dotations - OHADA"</v>
          </cell>
          <cell r="C13" t="str">
            <v>Autres dotations</v>
          </cell>
          <cell r="D13" t="str">
            <v>OHADA</v>
          </cell>
          <cell r="E13" t="str">
            <v>102000 - Capital par dotation - OHADA</v>
          </cell>
          <cell r="F13">
            <v>102800</v>
          </cell>
          <cell r="G13" t="str">
            <v>0</v>
          </cell>
          <cell r="H13" t="str">
            <v>Equity</v>
          </cell>
          <cell r="I13" t="str">
            <v>Balance Sheet</v>
          </cell>
          <cell r="J13" t="str">
            <v>XAF</v>
          </cell>
          <cell r="K13" t="str">
            <v>Capital</v>
          </cell>
        </row>
        <row r="14">
          <cell r="A14" t="str">
            <v>A13</v>
          </cell>
          <cell r="B14" t="str">
            <v>"103000 - Capital personnel - OHADA"</v>
          </cell>
          <cell r="C14" t="str">
            <v>Capital personnel</v>
          </cell>
          <cell r="D14" t="str">
            <v>OHADA</v>
          </cell>
          <cell r="E14" t="str">
            <v>100000 - Capital - OHADA</v>
          </cell>
          <cell r="F14">
            <v>103000</v>
          </cell>
          <cell r="G14" t="str">
            <v>0</v>
          </cell>
          <cell r="H14" t="str">
            <v>Equity</v>
          </cell>
          <cell r="I14" t="str">
            <v>Balance Sheet</v>
          </cell>
          <cell r="J14" t="str">
            <v>XAF</v>
          </cell>
          <cell r="K14" t="str">
            <v>Capital</v>
          </cell>
        </row>
        <row r="15">
          <cell r="A15" t="str">
            <v>A14</v>
          </cell>
          <cell r="B15" t="str">
            <v>"104000 - Compte de l’exploitant - OHADA"</v>
          </cell>
          <cell r="C15" t="str">
            <v>Compte de l’exploitant</v>
          </cell>
          <cell r="D15" t="str">
            <v>OHADA</v>
          </cell>
          <cell r="E15" t="str">
            <v>100000 - Capital - OHADA</v>
          </cell>
          <cell r="F15">
            <v>104000</v>
          </cell>
          <cell r="G15" t="str">
            <v>1</v>
          </cell>
          <cell r="H15" t="str">
            <v>Equity</v>
          </cell>
          <cell r="I15" t="str">
            <v>Balance Sheet</v>
          </cell>
          <cell r="J15" t="str">
            <v>XAF</v>
          </cell>
          <cell r="K15" t="str">
            <v>Capital</v>
          </cell>
        </row>
        <row r="16">
          <cell r="A16" t="str">
            <v>A15</v>
          </cell>
          <cell r="B16" t="str">
            <v>"104100 - Apports temporaires - OHADA"</v>
          </cell>
          <cell r="C16" t="str">
            <v>Apports temporaires</v>
          </cell>
          <cell r="D16" t="str">
            <v>OHADA</v>
          </cell>
          <cell r="E16" t="str">
            <v>104000 - Compte de l’exploitant - OHADA</v>
          </cell>
          <cell r="F16">
            <v>104100</v>
          </cell>
          <cell r="G16" t="str">
            <v>0</v>
          </cell>
          <cell r="H16" t="str">
            <v>Equity</v>
          </cell>
          <cell r="I16" t="str">
            <v>Balance Sheet</v>
          </cell>
          <cell r="J16" t="str">
            <v>XAF</v>
          </cell>
          <cell r="K16" t="str">
            <v>Capital</v>
          </cell>
        </row>
        <row r="17">
          <cell r="A17" t="str">
            <v>A16</v>
          </cell>
          <cell r="B17" t="str">
            <v>"104200 - Opérations courantes - OHADA"</v>
          </cell>
          <cell r="C17" t="str">
            <v>Opérations courantes</v>
          </cell>
          <cell r="D17" t="str">
            <v>OHADA</v>
          </cell>
          <cell r="E17" t="str">
            <v>104000 - Compte de l’exploitant - OHADA</v>
          </cell>
          <cell r="F17">
            <v>104200</v>
          </cell>
          <cell r="G17" t="str">
            <v>0</v>
          </cell>
          <cell r="H17" t="str">
            <v>Equity</v>
          </cell>
          <cell r="I17" t="str">
            <v>Balance Sheet</v>
          </cell>
          <cell r="J17" t="str">
            <v>XAF</v>
          </cell>
          <cell r="K17" t="str">
            <v>Capital</v>
          </cell>
        </row>
        <row r="18">
          <cell r="A18" t="str">
            <v>A17</v>
          </cell>
          <cell r="B18" t="str">
            <v>"104300 - Rémunérations, impôts et autres charges personnelles - OHADA"</v>
          </cell>
          <cell r="C18" t="str">
            <v>Rémunérations, impôts et autres charges personnelles</v>
          </cell>
          <cell r="D18" t="str">
            <v>OHADA</v>
          </cell>
          <cell r="E18" t="str">
            <v>104000 - Compte de l’exploitant - OHADA</v>
          </cell>
          <cell r="F18">
            <v>104300</v>
          </cell>
          <cell r="G18" t="str">
            <v>0</v>
          </cell>
          <cell r="H18" t="str">
            <v>Equity</v>
          </cell>
          <cell r="I18" t="str">
            <v>Balance Sheet</v>
          </cell>
          <cell r="J18" t="str">
            <v>XAF</v>
          </cell>
          <cell r="K18" t="str">
            <v>Capital</v>
          </cell>
        </row>
        <row r="19">
          <cell r="A19" t="str">
            <v>A18</v>
          </cell>
          <cell r="B19" t="str">
            <v>"104700 - Prélèvements d’autoconsommation - OHADA"</v>
          </cell>
          <cell r="C19" t="str">
            <v>Prélèvements d’autoconsommation</v>
          </cell>
          <cell r="D19" t="str">
            <v>OHADA</v>
          </cell>
          <cell r="E19" t="str">
            <v>104000 - Compte de l’exploitant - OHADA</v>
          </cell>
          <cell r="F19">
            <v>104700</v>
          </cell>
          <cell r="G19" t="str">
            <v>0</v>
          </cell>
          <cell r="H19" t="str">
            <v>Equity</v>
          </cell>
          <cell r="I19" t="str">
            <v>Balance Sheet</v>
          </cell>
          <cell r="J19" t="str">
            <v>XAF</v>
          </cell>
          <cell r="K19" t="str">
            <v>Capital</v>
          </cell>
        </row>
        <row r="20">
          <cell r="A20" t="str">
            <v>A19</v>
          </cell>
          <cell r="B20" t="str">
            <v>"104800 - Autres prélèvements - OHADA"</v>
          </cell>
          <cell r="C20" t="str">
            <v>Autres prélèvements</v>
          </cell>
          <cell r="D20" t="str">
            <v>OHADA</v>
          </cell>
          <cell r="E20" t="str">
            <v>104000 - Compte de l’exploitant - OHADA</v>
          </cell>
          <cell r="F20">
            <v>104800</v>
          </cell>
          <cell r="G20" t="str">
            <v>0</v>
          </cell>
          <cell r="H20" t="str">
            <v>Equity</v>
          </cell>
          <cell r="I20" t="str">
            <v>Balance Sheet</v>
          </cell>
          <cell r="J20" t="str">
            <v>XAF</v>
          </cell>
          <cell r="K20" t="str">
            <v>Capital</v>
          </cell>
        </row>
        <row r="21">
          <cell r="A21" t="str">
            <v>A20</v>
          </cell>
          <cell r="B21" t="str">
            <v>"105000 - Primes liées au capital social - OHADA"</v>
          </cell>
          <cell r="C21" t="str">
            <v>Primes liées au capital social</v>
          </cell>
          <cell r="D21" t="str">
            <v>OHADA</v>
          </cell>
          <cell r="E21" t="str">
            <v>100000 - Capital - OHADA</v>
          </cell>
          <cell r="F21">
            <v>105000</v>
          </cell>
          <cell r="G21" t="str">
            <v>1</v>
          </cell>
          <cell r="H21" t="str">
            <v>Equity</v>
          </cell>
          <cell r="I21" t="str">
            <v>Balance Sheet</v>
          </cell>
          <cell r="J21" t="str">
            <v>XAF</v>
          </cell>
          <cell r="K21" t="str">
            <v>Primes liées au capital social</v>
          </cell>
        </row>
        <row r="22">
          <cell r="A22" t="str">
            <v>A21</v>
          </cell>
          <cell r="B22" t="str">
            <v>"105100 - Primes d’émission - OHADA"</v>
          </cell>
          <cell r="C22" t="str">
            <v>Primes d’émission</v>
          </cell>
          <cell r="D22" t="str">
            <v>OHADA</v>
          </cell>
          <cell r="E22" t="str">
            <v>105000 - Primes liées au capital social - OHADA</v>
          </cell>
          <cell r="F22">
            <v>105100</v>
          </cell>
          <cell r="G22" t="str">
            <v>0</v>
          </cell>
          <cell r="H22" t="str">
            <v>Equity</v>
          </cell>
          <cell r="I22" t="str">
            <v>Balance Sheet</v>
          </cell>
          <cell r="J22" t="str">
            <v>XAF</v>
          </cell>
          <cell r="K22" t="str">
            <v>Primes liées au capital social</v>
          </cell>
        </row>
        <row r="23">
          <cell r="A23" t="str">
            <v>A22</v>
          </cell>
          <cell r="B23" t="str">
            <v>"105200 - Primes d’apport - OHADA"</v>
          </cell>
          <cell r="C23" t="str">
            <v>Primes d’apport</v>
          </cell>
          <cell r="D23" t="str">
            <v>OHADA</v>
          </cell>
          <cell r="E23" t="str">
            <v>105000 - Primes liées au capital social - OHADA</v>
          </cell>
          <cell r="F23">
            <v>105200</v>
          </cell>
          <cell r="G23" t="str">
            <v>0</v>
          </cell>
          <cell r="H23" t="str">
            <v>Equity</v>
          </cell>
          <cell r="I23" t="str">
            <v>Balance Sheet</v>
          </cell>
          <cell r="J23" t="str">
            <v>XAF</v>
          </cell>
          <cell r="K23" t="str">
            <v>Primes liées au capital social</v>
          </cell>
        </row>
        <row r="24">
          <cell r="A24" t="str">
            <v>A23</v>
          </cell>
          <cell r="B24" t="str">
            <v>"105300 - Primes de fusion - OHADA"</v>
          </cell>
          <cell r="C24" t="str">
            <v>Primes de fusion</v>
          </cell>
          <cell r="D24" t="str">
            <v>OHADA</v>
          </cell>
          <cell r="E24" t="str">
            <v>105000 - Primes liées au capital social - OHADA</v>
          </cell>
          <cell r="F24">
            <v>105300</v>
          </cell>
          <cell r="G24" t="str">
            <v>0</v>
          </cell>
          <cell r="H24" t="str">
            <v>Equity</v>
          </cell>
          <cell r="I24" t="str">
            <v>Balance Sheet</v>
          </cell>
          <cell r="J24" t="str">
            <v>XAF</v>
          </cell>
          <cell r="K24" t="str">
            <v>Primes liées au capital social</v>
          </cell>
        </row>
        <row r="25">
          <cell r="A25" t="str">
            <v>A24</v>
          </cell>
          <cell r="B25" t="str">
            <v>"105400 - Primes de conversion - OHADA"</v>
          </cell>
          <cell r="C25" t="str">
            <v>Primes de conversion</v>
          </cell>
          <cell r="D25" t="str">
            <v>OHADA</v>
          </cell>
          <cell r="E25" t="str">
            <v>105000 - Primes liées au capital social - OHADA</v>
          </cell>
          <cell r="F25">
            <v>105400</v>
          </cell>
          <cell r="G25" t="str">
            <v>0</v>
          </cell>
          <cell r="H25" t="str">
            <v>Equity</v>
          </cell>
          <cell r="I25" t="str">
            <v>Balance Sheet</v>
          </cell>
          <cell r="J25" t="str">
            <v>XAF</v>
          </cell>
          <cell r="K25" t="str">
            <v>Primes liées au capital social</v>
          </cell>
        </row>
        <row r="26">
          <cell r="A26" t="str">
            <v>A25</v>
          </cell>
          <cell r="B26" t="str">
            <v>"105800 - Autres primes - OHADA"</v>
          </cell>
          <cell r="C26" t="str">
            <v>Autres primes</v>
          </cell>
          <cell r="D26" t="str">
            <v>OHADA</v>
          </cell>
          <cell r="E26" t="str">
            <v>105000 - Primes liées au capital social - OHADA</v>
          </cell>
          <cell r="F26">
            <v>105800</v>
          </cell>
          <cell r="G26" t="str">
            <v>0</v>
          </cell>
          <cell r="H26" t="str">
            <v>Equity</v>
          </cell>
          <cell r="I26" t="str">
            <v>Balance Sheet</v>
          </cell>
          <cell r="J26" t="str">
            <v>XAF</v>
          </cell>
          <cell r="K26" t="str">
            <v>Primes liées au capital social</v>
          </cell>
        </row>
        <row r="27">
          <cell r="A27" t="str">
            <v>A26</v>
          </cell>
          <cell r="B27" t="str">
            <v>"106000 - Écarts de réévaluation - OHADA"</v>
          </cell>
          <cell r="C27" t="str">
            <v>Écarts de réévaluation</v>
          </cell>
          <cell r="D27" t="str">
            <v>OHADA</v>
          </cell>
          <cell r="E27" t="str">
            <v>100000 - Capital - OHADA</v>
          </cell>
          <cell r="F27">
            <v>106000</v>
          </cell>
          <cell r="G27" t="str">
            <v>1</v>
          </cell>
          <cell r="H27" t="str">
            <v>Equity</v>
          </cell>
          <cell r="I27" t="str">
            <v>Balance Sheet</v>
          </cell>
          <cell r="J27" t="str">
            <v>XAF</v>
          </cell>
          <cell r="K27" t="str">
            <v>Ecarts de réévaluation</v>
          </cell>
        </row>
        <row r="28">
          <cell r="A28" t="str">
            <v>A27</v>
          </cell>
          <cell r="B28" t="str">
            <v>"106100 - Écarts de réévaluation légale - OHADA"</v>
          </cell>
          <cell r="C28" t="str">
            <v>Écarts de réévaluation légale</v>
          </cell>
          <cell r="D28" t="str">
            <v>OHADA</v>
          </cell>
          <cell r="E28" t="str">
            <v>106000 - Écarts de réévaluation - OHADA</v>
          </cell>
          <cell r="F28">
            <v>106100</v>
          </cell>
          <cell r="G28" t="str">
            <v>0</v>
          </cell>
          <cell r="H28" t="str">
            <v>Equity</v>
          </cell>
          <cell r="I28" t="str">
            <v>Balance Sheet</v>
          </cell>
          <cell r="J28" t="str">
            <v>XAF</v>
          </cell>
          <cell r="K28" t="str">
            <v>Ecarts de réévaluation</v>
          </cell>
        </row>
        <row r="29">
          <cell r="A29" t="str">
            <v>A28</v>
          </cell>
          <cell r="B29" t="str">
            <v>"106200 - Écarts de réévaluation libre - OHADA"</v>
          </cell>
          <cell r="C29" t="str">
            <v>Écarts de réévaluation libre</v>
          </cell>
          <cell r="D29" t="str">
            <v>OHADA</v>
          </cell>
          <cell r="E29" t="str">
            <v>106000 - Écarts de réévaluation - OHADA</v>
          </cell>
          <cell r="F29">
            <v>106200</v>
          </cell>
          <cell r="G29" t="str">
            <v>0</v>
          </cell>
          <cell r="H29" t="str">
            <v>Equity</v>
          </cell>
          <cell r="I29" t="str">
            <v>Balance Sheet</v>
          </cell>
          <cell r="J29" t="str">
            <v>XAF</v>
          </cell>
          <cell r="K29" t="str">
            <v>Ecarts de réévaluation</v>
          </cell>
        </row>
        <row r="30">
          <cell r="A30" t="str">
            <v>A29</v>
          </cell>
          <cell r="B30" t="str">
            <v>"109000 - Apporteurs, capital souscrit, non appelé - OHADA"</v>
          </cell>
          <cell r="C30" t="str">
            <v>Apporteurs, capital souscrit, non appelé</v>
          </cell>
          <cell r="D30" t="str">
            <v>OHADA</v>
          </cell>
          <cell r="E30" t="str">
            <v>100000 - Capital - OHADA</v>
          </cell>
          <cell r="F30">
            <v>109000</v>
          </cell>
          <cell r="G30" t="str">
            <v>0</v>
          </cell>
          <cell r="H30" t="str">
            <v>Equity</v>
          </cell>
          <cell r="I30" t="str">
            <v>Balance Sheet</v>
          </cell>
          <cell r="J30" t="str">
            <v>XAF</v>
          </cell>
          <cell r="K30" t="str">
            <v>Apporteurs capital non appelé</v>
          </cell>
        </row>
        <row r="31">
          <cell r="A31" t="str">
            <v>A30</v>
          </cell>
          <cell r="B31" t="str">
            <v>"110000 - Réserves - OHADA"</v>
          </cell>
          <cell r="C31" t="str">
            <v>Réserves</v>
          </cell>
          <cell r="D31" t="str">
            <v>OHADA</v>
          </cell>
          <cell r="E31" t="str">
            <v>1 - Comptes de ressources durables - OHADA</v>
          </cell>
          <cell r="F31">
            <v>110000</v>
          </cell>
          <cell r="G31" t="str">
            <v>1</v>
          </cell>
          <cell r="H31" t="str">
            <v>Equity</v>
          </cell>
          <cell r="I31" t="str">
            <v>Balance Sheet</v>
          </cell>
          <cell r="J31" t="str">
            <v>XAF</v>
          </cell>
          <cell r="K31" t="str">
            <v>Réserves indisponibles</v>
          </cell>
        </row>
        <row r="32">
          <cell r="A32" t="str">
            <v>A31</v>
          </cell>
          <cell r="B32" t="str">
            <v>"111000 - Réserve légale - OHADA"</v>
          </cell>
          <cell r="C32" t="str">
            <v>Réserve légale</v>
          </cell>
          <cell r="D32" t="str">
            <v>OHADA</v>
          </cell>
          <cell r="E32" t="str">
            <v>110000 - Réserves - OHADA</v>
          </cell>
          <cell r="F32">
            <v>111000</v>
          </cell>
          <cell r="G32" t="str">
            <v>0</v>
          </cell>
          <cell r="H32" t="str">
            <v>Equity</v>
          </cell>
          <cell r="I32" t="str">
            <v>Balance Sheet</v>
          </cell>
          <cell r="J32" t="str">
            <v>XAF</v>
          </cell>
          <cell r="K32" t="str">
            <v>Réserves indisponibles</v>
          </cell>
        </row>
        <row r="33">
          <cell r="A33" t="str">
            <v>A32</v>
          </cell>
          <cell r="B33" t="str">
            <v>"112000 - Réserves statutaires ou contractuelles - OHADA"</v>
          </cell>
          <cell r="C33" t="str">
            <v>Réserves statutaires ou contractuelles</v>
          </cell>
          <cell r="D33" t="str">
            <v>OHADA</v>
          </cell>
          <cell r="E33" t="str">
            <v>110000 - Réserves - OHADA</v>
          </cell>
          <cell r="F33">
            <v>112000</v>
          </cell>
          <cell r="G33" t="str">
            <v>0</v>
          </cell>
          <cell r="H33" t="str">
            <v>Equity</v>
          </cell>
          <cell r="I33" t="str">
            <v>Balance Sheet</v>
          </cell>
          <cell r="J33" t="str">
            <v>XAF</v>
          </cell>
          <cell r="K33" t="str">
            <v>Réserves indisponibles</v>
          </cell>
        </row>
        <row r="34">
          <cell r="A34" t="str">
            <v>A33</v>
          </cell>
          <cell r="B34" t="str">
            <v>"113000 - Réserves réglementées - OHADA"</v>
          </cell>
          <cell r="C34" t="str">
            <v>Réserves réglementées</v>
          </cell>
          <cell r="D34" t="str">
            <v>OHADA</v>
          </cell>
          <cell r="E34" t="str">
            <v>110000 - Réserves - OHADA</v>
          </cell>
          <cell r="F34">
            <v>113000</v>
          </cell>
          <cell r="G34" t="str">
            <v>1</v>
          </cell>
          <cell r="H34" t="str">
            <v>Equity</v>
          </cell>
          <cell r="I34" t="str">
            <v>Balance Sheet</v>
          </cell>
          <cell r="J34" t="str">
            <v>XAF</v>
          </cell>
          <cell r="K34" t="str">
            <v>Réserves indisponibles</v>
          </cell>
        </row>
        <row r="35">
          <cell r="A35" t="str">
            <v>A34</v>
          </cell>
          <cell r="B35" t="str">
            <v>"113100 - Réserves de plus - values nettes à long terme - OHADA"</v>
          </cell>
          <cell r="C35" t="str">
            <v>Réserves de plus-values nettes à long terme</v>
          </cell>
          <cell r="D35" t="str">
            <v>OHADA</v>
          </cell>
          <cell r="E35" t="str">
            <v>113000 - Réserves réglementées - OHADA</v>
          </cell>
          <cell r="F35">
            <v>113100</v>
          </cell>
          <cell r="G35" t="str">
            <v>0</v>
          </cell>
          <cell r="H35" t="str">
            <v>Equity</v>
          </cell>
          <cell r="I35" t="str">
            <v>Balance Sheet</v>
          </cell>
          <cell r="J35" t="str">
            <v>XAF</v>
          </cell>
          <cell r="K35" t="str">
            <v>Réserves indisponibles</v>
          </cell>
        </row>
        <row r="36">
          <cell r="A36" t="str">
            <v>A35</v>
          </cell>
          <cell r="B36" t="str">
            <v>"113200 - Réserves d’attribution gratuite d’actions au personnel salarié et aux dirigeants - OHADA"</v>
          </cell>
          <cell r="C36" t="str">
            <v>Réserves d’attribution gratuite d’actions au personnel salarié et aux dirigeants</v>
          </cell>
          <cell r="D36" t="str">
            <v>OHADA</v>
          </cell>
          <cell r="E36" t="str">
            <v>113000 - Réserves réglementées - OHADA</v>
          </cell>
          <cell r="F36">
            <v>113200</v>
          </cell>
          <cell r="G36" t="str">
            <v>0</v>
          </cell>
          <cell r="H36" t="str">
            <v>Equity</v>
          </cell>
          <cell r="I36" t="str">
            <v>Balance Sheet</v>
          </cell>
          <cell r="J36" t="str">
            <v>XAF</v>
          </cell>
          <cell r="K36" t="str">
            <v>Réserves indisponibles</v>
          </cell>
        </row>
        <row r="37">
          <cell r="A37" t="str">
            <v>A36</v>
          </cell>
          <cell r="B37" t="str">
            <v>"113300 - Réserves consécutives à l’octroi de subventions d’investissement - OHADA"</v>
          </cell>
          <cell r="C37" t="str">
            <v>Réserves consécutives à l’octroi de subventions d’investissement</v>
          </cell>
          <cell r="D37" t="str">
            <v>OHADA</v>
          </cell>
          <cell r="E37" t="str">
            <v>113000 - Réserves réglementées - OHADA</v>
          </cell>
          <cell r="F37">
            <v>113300</v>
          </cell>
          <cell r="G37" t="str">
            <v>0</v>
          </cell>
          <cell r="H37" t="str">
            <v>Equity</v>
          </cell>
          <cell r="I37" t="str">
            <v>Balance Sheet</v>
          </cell>
          <cell r="J37" t="str">
            <v>XAF</v>
          </cell>
          <cell r="K37" t="str">
            <v>Réserves indisponibles</v>
          </cell>
        </row>
        <row r="38">
          <cell r="A38" t="str">
            <v>A37</v>
          </cell>
          <cell r="B38" t="str">
            <v>"113400 - Réserves des valeurs mobilières donnant accès au capital - OHADA"</v>
          </cell>
          <cell r="C38" t="str">
            <v>Réserves des valeurs mobilières donnant accès au capital</v>
          </cell>
          <cell r="D38" t="str">
            <v>OHADA</v>
          </cell>
          <cell r="E38" t="str">
            <v>113000 - Réserves réglementées - OHADA</v>
          </cell>
          <cell r="F38">
            <v>113400</v>
          </cell>
          <cell r="G38" t="str">
            <v>0</v>
          </cell>
          <cell r="H38" t="str">
            <v>Equity</v>
          </cell>
          <cell r="I38" t="str">
            <v>Balance Sheet</v>
          </cell>
          <cell r="J38" t="str">
            <v>XAF</v>
          </cell>
          <cell r="K38" t="str">
            <v>Réserves indisponibles</v>
          </cell>
        </row>
        <row r="39">
          <cell r="A39" t="str">
            <v>A38</v>
          </cell>
          <cell r="B39" t="str">
            <v>"113500 - Autres réserves réglementées - OHADA"</v>
          </cell>
          <cell r="C39" t="str">
            <v>Autres réserves réglementées</v>
          </cell>
          <cell r="D39" t="str">
            <v>OHADA</v>
          </cell>
          <cell r="E39" t="str">
            <v>113000 - Réserves réglementées - OHADA</v>
          </cell>
          <cell r="F39">
            <v>113500</v>
          </cell>
          <cell r="G39" t="str">
            <v>0</v>
          </cell>
          <cell r="H39" t="str">
            <v>Equity</v>
          </cell>
          <cell r="I39" t="str">
            <v>Balance Sheet</v>
          </cell>
          <cell r="J39" t="str">
            <v>XAF</v>
          </cell>
          <cell r="K39" t="str">
            <v>Réserves indisponibles</v>
          </cell>
        </row>
        <row r="40">
          <cell r="A40" t="str">
            <v>A39</v>
          </cell>
          <cell r="B40" t="str">
            <v>"118000 - Autres réserves - OHADA"</v>
          </cell>
          <cell r="C40" t="str">
            <v>Autres réserves</v>
          </cell>
          <cell r="D40" t="str">
            <v>OHADA</v>
          </cell>
          <cell r="E40" t="str">
            <v>110000 - Réserves - OHADA</v>
          </cell>
          <cell r="F40">
            <v>118000</v>
          </cell>
          <cell r="G40" t="str">
            <v>1</v>
          </cell>
          <cell r="H40" t="str">
            <v>Equity</v>
          </cell>
          <cell r="I40" t="str">
            <v>Balance Sheet</v>
          </cell>
          <cell r="J40" t="str">
            <v>XAF</v>
          </cell>
          <cell r="K40" t="str">
            <v>Réserves libres</v>
          </cell>
        </row>
        <row r="41">
          <cell r="A41" t="str">
            <v>A40</v>
          </cell>
          <cell r="B41" t="str">
            <v>"118100 - Réserves facultatives - OHADA"</v>
          </cell>
          <cell r="C41" t="str">
            <v>Réserves facultatives</v>
          </cell>
          <cell r="D41" t="str">
            <v>OHADA</v>
          </cell>
          <cell r="E41" t="str">
            <v>118000 - Autres réserves - OHADA</v>
          </cell>
          <cell r="F41">
            <v>118100</v>
          </cell>
          <cell r="G41" t="str">
            <v>0</v>
          </cell>
          <cell r="H41" t="str">
            <v>Equity</v>
          </cell>
          <cell r="I41" t="str">
            <v>Balance Sheet</v>
          </cell>
          <cell r="J41" t="str">
            <v>XAF</v>
          </cell>
          <cell r="K41" t="str">
            <v>Réserves libres</v>
          </cell>
        </row>
        <row r="42">
          <cell r="A42" t="str">
            <v>A41</v>
          </cell>
          <cell r="B42" t="str">
            <v>"118800 - Réserves diverses - OHADA"</v>
          </cell>
          <cell r="C42" t="str">
            <v>Réserves diverses</v>
          </cell>
          <cell r="D42" t="str">
            <v>OHADA</v>
          </cell>
          <cell r="E42" t="str">
            <v>118000 - Autres réserves - OHADA</v>
          </cell>
          <cell r="F42">
            <v>118800</v>
          </cell>
          <cell r="G42" t="str">
            <v>0</v>
          </cell>
          <cell r="H42" t="str">
            <v>Equity</v>
          </cell>
          <cell r="I42" t="str">
            <v>Balance Sheet</v>
          </cell>
          <cell r="J42" t="str">
            <v>XAF</v>
          </cell>
          <cell r="K42" t="str">
            <v>Réserves libres</v>
          </cell>
        </row>
        <row r="43">
          <cell r="A43" t="str">
            <v>A42</v>
          </cell>
          <cell r="B43" t="str">
            <v>"120000 - Report à nouveau - OHADA"</v>
          </cell>
          <cell r="C43" t="str">
            <v>Report à nouveau</v>
          </cell>
          <cell r="D43" t="str">
            <v>OHADA</v>
          </cell>
          <cell r="E43" t="str">
            <v>1 - Comptes de ressources durables - OHADA</v>
          </cell>
          <cell r="F43">
            <v>120000</v>
          </cell>
          <cell r="G43" t="str">
            <v>1</v>
          </cell>
          <cell r="H43" t="str">
            <v>Equity</v>
          </cell>
          <cell r="I43" t="str">
            <v>Balance Sheet</v>
          </cell>
          <cell r="J43" t="str">
            <v>XAF</v>
          </cell>
          <cell r="K43" t="str">
            <v>Report à nouveau </v>
          </cell>
        </row>
        <row r="44">
          <cell r="A44" t="str">
            <v>A43</v>
          </cell>
          <cell r="B44" t="str">
            <v>"121000 - Report à nouveau créditeur - OHADA"</v>
          </cell>
          <cell r="C44" t="str">
            <v>Report à nouveau créditeur</v>
          </cell>
          <cell r="D44" t="str">
            <v>OHADA</v>
          </cell>
          <cell r="E44" t="str">
            <v>120000 - Report à nouveau - OHADA</v>
          </cell>
          <cell r="F44">
            <v>121000</v>
          </cell>
          <cell r="G44" t="str">
            <v>0</v>
          </cell>
          <cell r="H44" t="str">
            <v>Equity</v>
          </cell>
          <cell r="I44" t="str">
            <v>Balance Sheet</v>
          </cell>
          <cell r="J44" t="str">
            <v>XAF</v>
          </cell>
          <cell r="K44" t="str">
            <v>Report à nouveau </v>
          </cell>
        </row>
        <row r="45">
          <cell r="A45" t="str">
            <v>A44</v>
          </cell>
          <cell r="B45" t="str">
            <v>"129000 - Report à nouveau débiteur - OHADA"</v>
          </cell>
          <cell r="C45" t="str">
            <v>Report à nouveau débiteur</v>
          </cell>
          <cell r="D45" t="str">
            <v>OHADA</v>
          </cell>
          <cell r="E45" t="str">
            <v>120000 - Report à nouveau - OHADA</v>
          </cell>
          <cell r="F45">
            <v>129000</v>
          </cell>
          <cell r="G45" t="str">
            <v>1</v>
          </cell>
          <cell r="H45" t="str">
            <v>Equity</v>
          </cell>
          <cell r="I45" t="str">
            <v>Balance Sheet</v>
          </cell>
          <cell r="J45" t="str">
            <v>XAF</v>
          </cell>
          <cell r="K45" t="str">
            <v>Report à nouveau </v>
          </cell>
        </row>
        <row r="46">
          <cell r="A46" t="str">
            <v>A45</v>
          </cell>
          <cell r="B46" t="str">
            <v>"129100 - Perte nette à reporter - OHADA"</v>
          </cell>
          <cell r="C46" t="str">
            <v>Perte nette à reporter</v>
          </cell>
          <cell r="D46" t="str">
            <v>OHADA</v>
          </cell>
          <cell r="E46" t="str">
            <v>129000 - Report à nouveau débiteur - OHADA</v>
          </cell>
          <cell r="F46">
            <v>129100</v>
          </cell>
          <cell r="G46" t="str">
            <v>0</v>
          </cell>
          <cell r="H46" t="str">
            <v>Equity</v>
          </cell>
          <cell r="I46" t="str">
            <v>Balance Sheet</v>
          </cell>
          <cell r="J46" t="str">
            <v>XAF</v>
          </cell>
          <cell r="K46" t="str">
            <v>Report à nouveau </v>
          </cell>
        </row>
        <row r="47">
          <cell r="A47" t="str">
            <v>A46</v>
          </cell>
          <cell r="B47" t="str">
            <v>"129200 - Perte Amortissements réputés différés - OHADA"</v>
          </cell>
          <cell r="C47" t="str">
            <v>Perte Amortissements réputés différés</v>
          </cell>
          <cell r="D47" t="str">
            <v>OHADA</v>
          </cell>
          <cell r="E47" t="str">
            <v>129000 - Report à nouveau débiteur - OHADA</v>
          </cell>
          <cell r="F47">
            <v>129200</v>
          </cell>
          <cell r="G47" t="str">
            <v>0</v>
          </cell>
          <cell r="H47" t="str">
            <v>Equity</v>
          </cell>
          <cell r="I47" t="str">
            <v>Balance Sheet</v>
          </cell>
          <cell r="J47" t="str">
            <v>XAF</v>
          </cell>
          <cell r="K47" t="str">
            <v>Report à nouveau </v>
          </cell>
        </row>
        <row r="48">
          <cell r="A48" t="str">
            <v>A47</v>
          </cell>
          <cell r="B48" t="str">
            <v>"130000 - Résultat net de l’exercice - OHADA"</v>
          </cell>
          <cell r="C48" t="str">
            <v>Résultat net de l’exercice</v>
          </cell>
          <cell r="D48" t="str">
            <v>OHADA</v>
          </cell>
          <cell r="E48" t="str">
            <v>1 - Comptes de ressources durables - OHADA</v>
          </cell>
          <cell r="F48">
            <v>130000</v>
          </cell>
          <cell r="G48" t="str">
            <v>1</v>
          </cell>
          <cell r="H48" t="str">
            <v>Equity</v>
          </cell>
          <cell r="I48" t="str">
            <v>Balance Sheet</v>
          </cell>
          <cell r="J48" t="str">
            <v>XAF</v>
          </cell>
          <cell r="K48" t="str">
            <v>Résultat net de l'exercice</v>
          </cell>
        </row>
        <row r="49">
          <cell r="A49" t="str">
            <v>A48</v>
          </cell>
          <cell r="B49" t="str">
            <v>"130000 - Résultat en instance d’affectation - OHADA"</v>
          </cell>
          <cell r="C49" t="str">
            <v>Résultat en instance d’affectation</v>
          </cell>
          <cell r="D49" t="str">
            <v>OHADA</v>
          </cell>
          <cell r="E49" t="str">
            <v>130000 - Résultat net de l’exercice - OHADA</v>
          </cell>
          <cell r="F49">
            <v>130000</v>
          </cell>
          <cell r="G49" t="str">
            <v>1</v>
          </cell>
          <cell r="H49" t="str">
            <v>Equity</v>
          </cell>
          <cell r="I49" t="str">
            <v>Balance Sheet</v>
          </cell>
          <cell r="J49" t="str">
            <v>XAF</v>
          </cell>
          <cell r="K49" t="str">
            <v>Résultat net de l'exercice</v>
          </cell>
        </row>
        <row r="50">
          <cell r="A50" t="str">
            <v>A49</v>
          </cell>
          <cell r="B50" t="str">
            <v>"130100 - Résultat en instance d’affectation : bénéfice - OHADA"</v>
          </cell>
          <cell r="C50" t="str">
            <v>Résultat en instance d’affectation : bénéfice</v>
          </cell>
          <cell r="D50" t="str">
            <v>OHADA</v>
          </cell>
          <cell r="E50" t="str">
            <v>130000 - Résultat en instance d’affectation - OHADA</v>
          </cell>
          <cell r="F50">
            <v>130100</v>
          </cell>
          <cell r="G50" t="str">
            <v>0</v>
          </cell>
          <cell r="H50" t="str">
            <v>Equity</v>
          </cell>
          <cell r="I50" t="str">
            <v>Balance Sheet</v>
          </cell>
          <cell r="J50" t="str">
            <v>XAF</v>
          </cell>
          <cell r="K50" t="str">
            <v>Résultat net de l'exercice</v>
          </cell>
        </row>
        <row r="51">
          <cell r="A51" t="str">
            <v>A50</v>
          </cell>
          <cell r="B51" t="str">
            <v>"130900 - Résultat en instance d’affectation : perte - OHADA"</v>
          </cell>
          <cell r="C51" t="str">
            <v>Résultat en instance d’affectation : perte</v>
          </cell>
          <cell r="D51" t="str">
            <v>OHADA</v>
          </cell>
          <cell r="E51" t="str">
            <v>130000 - Résultat en instance d’affectation - OHADA</v>
          </cell>
          <cell r="F51">
            <v>130900</v>
          </cell>
          <cell r="G51" t="str">
            <v>0</v>
          </cell>
          <cell r="H51" t="str">
            <v>Equity</v>
          </cell>
          <cell r="I51" t="str">
            <v>Balance Sheet</v>
          </cell>
          <cell r="J51" t="str">
            <v>XAF</v>
          </cell>
          <cell r="K51" t="str">
            <v>Résultat net de l'exercice</v>
          </cell>
        </row>
        <row r="52">
          <cell r="A52" t="str">
            <v>A51</v>
          </cell>
          <cell r="B52" t="str">
            <v>"131000 - Résultat net : bénéfice - OHADA"</v>
          </cell>
          <cell r="C52" t="str">
            <v>Résultat net : bénéfice</v>
          </cell>
          <cell r="D52" t="str">
            <v>OHADA</v>
          </cell>
          <cell r="E52" t="str">
            <v>130000 - Résultat net de l’exercice - OHADA</v>
          </cell>
          <cell r="F52">
            <v>131000</v>
          </cell>
          <cell r="G52" t="str">
            <v>0</v>
          </cell>
          <cell r="H52" t="str">
            <v>Equity</v>
          </cell>
          <cell r="I52" t="str">
            <v>Balance Sheet</v>
          </cell>
          <cell r="J52" t="str">
            <v>XAF</v>
          </cell>
          <cell r="K52" t="str">
            <v>Résultat net de l'exercice</v>
          </cell>
        </row>
        <row r="53">
          <cell r="A53" t="str">
            <v>A52</v>
          </cell>
          <cell r="B53" t="str">
            <v>"132000 - Marge commerciale (MC) - OHADA"</v>
          </cell>
          <cell r="C53" t="str">
            <v>Marge commerciale (MC)</v>
          </cell>
          <cell r="D53" t="str">
            <v>OHADA</v>
          </cell>
          <cell r="E53" t="str">
            <v>130000 - Résultat net de l’exercice - OHADA</v>
          </cell>
          <cell r="F53">
            <v>132000</v>
          </cell>
          <cell r="G53" t="str">
            <v>0</v>
          </cell>
          <cell r="H53" t="str">
            <v>Equity</v>
          </cell>
          <cell r="I53" t="str">
            <v>Balance Sheet</v>
          </cell>
          <cell r="J53" t="str">
            <v>XAF</v>
          </cell>
          <cell r="K53" t="str">
            <v>Résultat net de l'exercice</v>
          </cell>
        </row>
        <row r="54">
          <cell r="A54" t="str">
            <v>A53</v>
          </cell>
          <cell r="B54" t="str">
            <v>"133000 - Valeur ajoutée (VA) - OHADA"</v>
          </cell>
          <cell r="C54" t="str">
            <v>Valeur ajoutée (VA)</v>
          </cell>
          <cell r="D54" t="str">
            <v>OHADA</v>
          </cell>
          <cell r="E54" t="str">
            <v>130000 - Résultat net de l’exercice - OHADA</v>
          </cell>
          <cell r="F54">
            <v>133000</v>
          </cell>
          <cell r="G54" t="str">
            <v>0</v>
          </cell>
          <cell r="H54" t="str">
            <v>Equity</v>
          </cell>
          <cell r="I54" t="str">
            <v>Balance Sheet</v>
          </cell>
          <cell r="J54" t="str">
            <v>XAF</v>
          </cell>
          <cell r="K54" t="str">
            <v>Résultat net de l'exercice</v>
          </cell>
        </row>
        <row r="55">
          <cell r="A55" t="str">
            <v>A54</v>
          </cell>
          <cell r="B55" t="str">
            <v>"134000 - Excédent brut d’exploitation (EBE) - OHADA"</v>
          </cell>
          <cell r="C55" t="str">
            <v>Excédent brut d’exploitation (EBE)</v>
          </cell>
          <cell r="D55" t="str">
            <v>OHADA</v>
          </cell>
          <cell r="E55" t="str">
            <v>130000 - Résultat net de l’exercice - OHADA</v>
          </cell>
          <cell r="F55">
            <v>134000</v>
          </cell>
          <cell r="G55" t="str">
            <v>0</v>
          </cell>
          <cell r="H55" t="str">
            <v>Equity</v>
          </cell>
          <cell r="I55" t="str">
            <v>Balance Sheet</v>
          </cell>
          <cell r="J55" t="str">
            <v>XAF</v>
          </cell>
          <cell r="K55" t="str">
            <v>Résultat net de l'exercice</v>
          </cell>
        </row>
        <row r="56">
          <cell r="A56" t="str">
            <v>A55</v>
          </cell>
          <cell r="B56" t="str">
            <v>"135000 - Résultat d’exploitation (RE) - OHADA"</v>
          </cell>
          <cell r="C56" t="str">
            <v>Résultat d’exploitation (RE)</v>
          </cell>
          <cell r="D56" t="str">
            <v>OHADA</v>
          </cell>
          <cell r="E56" t="str">
            <v>130000 - Résultat net de l’exercice - OHADA</v>
          </cell>
          <cell r="F56">
            <v>135000</v>
          </cell>
          <cell r="G56" t="str">
            <v>0</v>
          </cell>
          <cell r="H56" t="str">
            <v>Equity</v>
          </cell>
          <cell r="I56" t="str">
            <v>Balance Sheet</v>
          </cell>
          <cell r="J56" t="str">
            <v>XAF</v>
          </cell>
          <cell r="K56" t="str">
            <v>Résultat net de l'exercice</v>
          </cell>
        </row>
        <row r="57">
          <cell r="A57" t="str">
            <v>A56</v>
          </cell>
          <cell r="B57" t="str">
            <v>"136000 - Résultat financier (RF) - OHADA"</v>
          </cell>
          <cell r="C57" t="str">
            <v>Résultat financier (RF)</v>
          </cell>
          <cell r="D57" t="str">
            <v>OHADA</v>
          </cell>
          <cell r="E57" t="str">
            <v>130000 - Résultat net de l’exercice - OHADA</v>
          </cell>
          <cell r="F57">
            <v>136000</v>
          </cell>
          <cell r="G57" t="str">
            <v>0</v>
          </cell>
          <cell r="H57" t="str">
            <v>Equity</v>
          </cell>
          <cell r="I57" t="str">
            <v>Balance Sheet</v>
          </cell>
          <cell r="J57" t="str">
            <v>XAF</v>
          </cell>
          <cell r="K57" t="str">
            <v>Résultat net de l'exercice</v>
          </cell>
        </row>
        <row r="58">
          <cell r="A58" t="str">
            <v>A57</v>
          </cell>
          <cell r="B58" t="str">
            <v>"137000 - Résultat des activités ordinaires (RAO) - OHADA"</v>
          </cell>
          <cell r="C58" t="str">
            <v>Résultat des activités ordinaires (RAO)</v>
          </cell>
          <cell r="D58" t="str">
            <v>OHADA</v>
          </cell>
          <cell r="E58" t="str">
            <v>130000 - Résultat net de l’exercice - OHADA</v>
          </cell>
          <cell r="F58">
            <v>137000</v>
          </cell>
          <cell r="G58" t="str">
            <v>0</v>
          </cell>
          <cell r="H58" t="str">
            <v>Equity</v>
          </cell>
          <cell r="I58" t="str">
            <v>Balance Sheet</v>
          </cell>
          <cell r="J58" t="str">
            <v>XAF</v>
          </cell>
          <cell r="K58" t="str">
            <v>Résultat net de l'exercice</v>
          </cell>
        </row>
        <row r="59">
          <cell r="A59" t="str">
            <v>A58</v>
          </cell>
          <cell r="B59" t="str">
            <v>"138000 - Résultat hors activités ordinaires (RHAO) - OHADA"</v>
          </cell>
          <cell r="C59" t="str">
            <v>Résultat hors activités ordinaires (RHAO)</v>
          </cell>
          <cell r="D59" t="str">
            <v>OHADA</v>
          </cell>
          <cell r="E59" t="str">
            <v>130000 - Résultat net de l’exercice - OHADA</v>
          </cell>
          <cell r="F59">
            <v>138000</v>
          </cell>
          <cell r="G59" t="str">
            <v>1</v>
          </cell>
          <cell r="H59" t="str">
            <v>Equity</v>
          </cell>
          <cell r="I59" t="str">
            <v>Balance Sheet</v>
          </cell>
          <cell r="J59" t="str">
            <v>XAF</v>
          </cell>
          <cell r="K59" t="str">
            <v>Résultat net de l'exercice</v>
          </cell>
        </row>
        <row r="60">
          <cell r="A60" t="str">
            <v>A59</v>
          </cell>
          <cell r="B60" t="str">
            <v>"138100 - Résultat de fusion - OHADA"</v>
          </cell>
          <cell r="C60" t="str">
            <v>Résultat de fusion</v>
          </cell>
          <cell r="D60" t="str">
            <v>OHADA</v>
          </cell>
          <cell r="E60" t="str">
            <v>138000 - Résultat hors activités ordinaires (RHAO) - OHADA</v>
          </cell>
          <cell r="F60">
            <v>138100</v>
          </cell>
          <cell r="G60" t="str">
            <v>0</v>
          </cell>
          <cell r="H60" t="str">
            <v>Equity</v>
          </cell>
          <cell r="I60" t="str">
            <v>Balance Sheet</v>
          </cell>
          <cell r="J60" t="str">
            <v>XAF</v>
          </cell>
          <cell r="K60" t="str">
            <v>Résultat net de l'exercice</v>
          </cell>
        </row>
        <row r="61">
          <cell r="A61" t="str">
            <v>A60</v>
          </cell>
          <cell r="B61" t="str">
            <v>"138200 - Résultat d’apport partiel d’actif - OHADA"</v>
          </cell>
          <cell r="C61" t="str">
            <v>Résultat d’apport partiel d’actif</v>
          </cell>
          <cell r="D61" t="str">
            <v>OHADA</v>
          </cell>
          <cell r="E61" t="str">
            <v>138000 - Résultat hors activités ordinaires (RHAO) - OHADA</v>
          </cell>
          <cell r="F61">
            <v>138200</v>
          </cell>
          <cell r="G61" t="str">
            <v>0</v>
          </cell>
          <cell r="H61" t="str">
            <v>Equity</v>
          </cell>
          <cell r="I61" t="str">
            <v>Balance Sheet</v>
          </cell>
          <cell r="J61" t="str">
            <v>XAF</v>
          </cell>
          <cell r="K61" t="str">
            <v>Résultat net de l'exercice</v>
          </cell>
        </row>
        <row r="62">
          <cell r="A62" t="str">
            <v>A61</v>
          </cell>
          <cell r="B62" t="str">
            <v>"138300 - Résultat de scission - OHADA"</v>
          </cell>
          <cell r="C62" t="str">
            <v>Résultat de scission</v>
          </cell>
          <cell r="D62" t="str">
            <v>OHADA</v>
          </cell>
          <cell r="E62" t="str">
            <v>138000 - Résultat hors activités ordinaires (RHAO) - OHADA</v>
          </cell>
          <cell r="F62">
            <v>138300</v>
          </cell>
          <cell r="G62" t="str">
            <v>0</v>
          </cell>
          <cell r="H62" t="str">
            <v>Equity</v>
          </cell>
          <cell r="I62" t="str">
            <v>Balance Sheet</v>
          </cell>
          <cell r="J62" t="str">
            <v>XAF</v>
          </cell>
          <cell r="K62" t="str">
            <v>Résultat net de l'exercice</v>
          </cell>
        </row>
        <row r="63">
          <cell r="A63" t="str">
            <v>A62</v>
          </cell>
          <cell r="B63" t="str">
            <v>"138400 - Résultat de liquidation - OHADA"</v>
          </cell>
          <cell r="C63" t="str">
            <v>Résultat de liquidation</v>
          </cell>
          <cell r="D63" t="str">
            <v>OHADA</v>
          </cell>
          <cell r="E63" t="str">
            <v>138000 - Résultat hors activités ordinaires (RHAO) - OHADA</v>
          </cell>
          <cell r="F63">
            <v>138400</v>
          </cell>
          <cell r="G63" t="str">
            <v>0</v>
          </cell>
          <cell r="H63" t="str">
            <v>Equity</v>
          </cell>
          <cell r="I63" t="str">
            <v>Balance Sheet</v>
          </cell>
          <cell r="J63" t="str">
            <v>XAF</v>
          </cell>
          <cell r="K63" t="str">
            <v>Résultat net de l'exercice</v>
          </cell>
        </row>
        <row r="64">
          <cell r="A64" t="str">
            <v>A63</v>
          </cell>
          <cell r="B64" t="str">
            <v>"139000 - Résultat net : perte - OHADA"</v>
          </cell>
          <cell r="C64" t="str">
            <v>Résultat net : perte</v>
          </cell>
          <cell r="D64" t="str">
            <v>OHADA</v>
          </cell>
          <cell r="E64" t="str">
            <v>130000 - Résultat net de l’exercice - OHADA</v>
          </cell>
          <cell r="F64">
            <v>139000</v>
          </cell>
          <cell r="G64" t="str">
            <v>0</v>
          </cell>
          <cell r="H64" t="str">
            <v>Equity</v>
          </cell>
          <cell r="I64" t="str">
            <v>Balance Sheet</v>
          </cell>
          <cell r="J64" t="str">
            <v>XAF</v>
          </cell>
          <cell r="K64" t="str">
            <v>Résultat net de l'exercice</v>
          </cell>
        </row>
        <row r="65">
          <cell r="A65" t="str">
            <v>A64</v>
          </cell>
          <cell r="B65" t="str">
            <v>"140000 - Subventions d’investissement - OHADA"</v>
          </cell>
          <cell r="C65" t="str">
            <v>Subventions d’investissement</v>
          </cell>
          <cell r="D65" t="str">
            <v>OHADA</v>
          </cell>
          <cell r="E65" t="str">
            <v>1 - Comptes de ressources durables - OHADA</v>
          </cell>
          <cell r="F65">
            <v>140000</v>
          </cell>
          <cell r="G65" t="str">
            <v>1</v>
          </cell>
          <cell r="H65" t="str">
            <v>Equity</v>
          </cell>
          <cell r="I65" t="str">
            <v>Balance Sheet</v>
          </cell>
          <cell r="J65" t="str">
            <v>XAF</v>
          </cell>
          <cell r="K65" t="str">
            <v>Subventions d'investissement</v>
          </cell>
        </row>
        <row r="66">
          <cell r="A66" t="str">
            <v>A65</v>
          </cell>
          <cell r="B66" t="str">
            <v>"141000 - Subventions d’équipement - OHADA"</v>
          </cell>
          <cell r="C66" t="str">
            <v>Subventions d’équipement</v>
          </cell>
          <cell r="D66" t="str">
            <v>OHADA</v>
          </cell>
          <cell r="E66" t="str">
            <v>140000 - Subventions d’investissement - OHADA</v>
          </cell>
          <cell r="F66">
            <v>141000</v>
          </cell>
          <cell r="G66" t="str">
            <v>1</v>
          </cell>
          <cell r="H66" t="str">
            <v>Equity</v>
          </cell>
          <cell r="I66" t="str">
            <v>Balance Sheet</v>
          </cell>
          <cell r="J66" t="str">
            <v>XAF</v>
          </cell>
          <cell r="K66" t="str">
            <v>Subventions d'investissement</v>
          </cell>
        </row>
        <row r="67">
          <cell r="A67" t="str">
            <v>A66</v>
          </cell>
          <cell r="B67" t="str">
            <v>"141100 - État - OHADA"</v>
          </cell>
          <cell r="C67" t="str">
            <v>État</v>
          </cell>
          <cell r="D67" t="str">
            <v>OHADA</v>
          </cell>
          <cell r="E67" t="str">
            <v>141000 - Subventions d’équipement - OHADA</v>
          </cell>
          <cell r="F67">
            <v>141100</v>
          </cell>
          <cell r="G67" t="str">
            <v>0</v>
          </cell>
          <cell r="H67" t="str">
            <v>Equity</v>
          </cell>
          <cell r="I67" t="str">
            <v>Balance Sheet</v>
          </cell>
          <cell r="J67" t="str">
            <v>XAF</v>
          </cell>
          <cell r="K67" t="str">
            <v>Subventions d'investissement</v>
          </cell>
        </row>
        <row r="68">
          <cell r="A68" t="str">
            <v>A67</v>
          </cell>
          <cell r="B68" t="str">
            <v>"141200 - Régions - OHADA"</v>
          </cell>
          <cell r="C68" t="str">
            <v>Régions</v>
          </cell>
          <cell r="D68" t="str">
            <v>OHADA</v>
          </cell>
          <cell r="E68" t="str">
            <v>141000 - Subventions d’équipement - OHADA</v>
          </cell>
          <cell r="F68">
            <v>141200</v>
          </cell>
          <cell r="G68" t="str">
            <v>0</v>
          </cell>
          <cell r="H68" t="str">
            <v>Equity</v>
          </cell>
          <cell r="I68" t="str">
            <v>Balance Sheet</v>
          </cell>
          <cell r="J68" t="str">
            <v>XAF</v>
          </cell>
          <cell r="K68" t="str">
            <v>Subventions d'investissement</v>
          </cell>
        </row>
        <row r="69">
          <cell r="A69" t="str">
            <v>A68</v>
          </cell>
          <cell r="B69" t="str">
            <v>"141300 - Départements - OHADA"</v>
          </cell>
          <cell r="C69" t="str">
            <v>Départements</v>
          </cell>
          <cell r="D69" t="str">
            <v>OHADA</v>
          </cell>
          <cell r="E69" t="str">
            <v>141000 - Subventions d’équipement - OHADA</v>
          </cell>
          <cell r="F69">
            <v>141300</v>
          </cell>
          <cell r="G69" t="str">
            <v>0</v>
          </cell>
          <cell r="H69" t="str">
            <v>Equity</v>
          </cell>
          <cell r="I69" t="str">
            <v>Balance Sheet</v>
          </cell>
          <cell r="J69" t="str">
            <v>XAF</v>
          </cell>
          <cell r="K69" t="str">
            <v>Subventions d'investissement</v>
          </cell>
        </row>
        <row r="70">
          <cell r="A70" t="str">
            <v>A69</v>
          </cell>
          <cell r="B70" t="str">
            <v>"141400 - Communes et collectivités publiques décentralisées - OHADA"</v>
          </cell>
          <cell r="C70" t="str">
            <v>Communes et collectivités publiques décentralisées</v>
          </cell>
          <cell r="D70" t="str">
            <v>OHADA</v>
          </cell>
          <cell r="E70" t="str">
            <v>141000 - Subventions d’équipement - OHADA</v>
          </cell>
          <cell r="F70">
            <v>141400</v>
          </cell>
          <cell r="G70" t="str">
            <v>0</v>
          </cell>
          <cell r="H70" t="str">
            <v>Equity</v>
          </cell>
          <cell r="I70" t="str">
            <v>Balance Sheet</v>
          </cell>
          <cell r="J70" t="str">
            <v>XAF</v>
          </cell>
          <cell r="K70" t="str">
            <v>Subventions d'investissement</v>
          </cell>
        </row>
        <row r="71">
          <cell r="A71" t="str">
            <v>A70</v>
          </cell>
          <cell r="B71" t="str">
            <v>"141500 - Entités publiques ou mixtes - OHADA"</v>
          </cell>
          <cell r="C71" t="str">
            <v>Entités publiques ou mixtes</v>
          </cell>
          <cell r="D71" t="str">
            <v>OHADA</v>
          </cell>
          <cell r="E71" t="str">
            <v>141000 - Subventions d’équipement - OHADA</v>
          </cell>
          <cell r="F71">
            <v>141500</v>
          </cell>
          <cell r="G71" t="str">
            <v>0</v>
          </cell>
          <cell r="H71" t="str">
            <v>Equity</v>
          </cell>
          <cell r="I71" t="str">
            <v>Balance Sheet</v>
          </cell>
          <cell r="J71" t="str">
            <v>XAF</v>
          </cell>
          <cell r="K71" t="str">
            <v>Subventions d'investissement</v>
          </cell>
        </row>
        <row r="72">
          <cell r="A72" t="str">
            <v>A71</v>
          </cell>
          <cell r="B72" t="str">
            <v>"141600 - Entités et organismes privés - OHADA"</v>
          </cell>
          <cell r="C72" t="str">
            <v>Entités et organismes privés</v>
          </cell>
          <cell r="D72" t="str">
            <v>OHADA</v>
          </cell>
          <cell r="E72" t="str">
            <v>141000 - Subventions d’équipement - OHADA</v>
          </cell>
          <cell r="F72">
            <v>141600</v>
          </cell>
          <cell r="G72" t="str">
            <v>0</v>
          </cell>
          <cell r="H72" t="str">
            <v>Equity</v>
          </cell>
          <cell r="I72" t="str">
            <v>Balance Sheet</v>
          </cell>
          <cell r="J72" t="str">
            <v>XAF</v>
          </cell>
          <cell r="K72" t="str">
            <v>Subventions d'investissement</v>
          </cell>
        </row>
        <row r="73">
          <cell r="A73" t="str">
            <v>A72</v>
          </cell>
          <cell r="B73" t="str">
            <v>"141700 - Organismes internationaux - OHADA"</v>
          </cell>
          <cell r="C73" t="str">
            <v>Organismes internationaux</v>
          </cell>
          <cell r="D73" t="str">
            <v>OHADA</v>
          </cell>
          <cell r="E73" t="str">
            <v>141000 - Subventions d’équipement - OHADA</v>
          </cell>
          <cell r="F73">
            <v>141700</v>
          </cell>
          <cell r="G73" t="str">
            <v>0</v>
          </cell>
          <cell r="H73" t="str">
            <v>Equity</v>
          </cell>
          <cell r="I73" t="str">
            <v>Balance Sheet</v>
          </cell>
          <cell r="J73" t="str">
            <v>XAF</v>
          </cell>
          <cell r="K73" t="str">
            <v>Subventions d'investissement</v>
          </cell>
        </row>
        <row r="74">
          <cell r="A74" t="str">
            <v>A73</v>
          </cell>
          <cell r="B74" t="str">
            <v>"141800 - Autres - OHADA"</v>
          </cell>
          <cell r="C74" t="str">
            <v>Autres</v>
          </cell>
          <cell r="D74" t="str">
            <v>OHADA</v>
          </cell>
          <cell r="E74" t="str">
            <v>141000 - Subventions d’équipement - OHADA</v>
          </cell>
          <cell r="F74">
            <v>141800</v>
          </cell>
          <cell r="G74" t="str">
            <v>0</v>
          </cell>
          <cell r="H74" t="str">
            <v>Equity</v>
          </cell>
          <cell r="I74" t="str">
            <v>Balance Sheet</v>
          </cell>
          <cell r="J74" t="str">
            <v>XAF</v>
          </cell>
          <cell r="K74" t="str">
            <v>Subventions d'investissement</v>
          </cell>
        </row>
        <row r="75">
          <cell r="A75" t="str">
            <v>A74</v>
          </cell>
          <cell r="B75" t="str">
            <v>"148000 - Autres subventions d’investissement - OHADA"</v>
          </cell>
          <cell r="C75" t="str">
            <v>Autres subventions d’investissement</v>
          </cell>
          <cell r="D75" t="str">
            <v>OHADA</v>
          </cell>
          <cell r="E75" t="str">
            <v>140000 - Subventions d’investissement - OHADA</v>
          </cell>
          <cell r="F75">
            <v>148000</v>
          </cell>
          <cell r="G75" t="str">
            <v>0</v>
          </cell>
          <cell r="H75" t="str">
            <v>Equity</v>
          </cell>
          <cell r="I75" t="str">
            <v>Balance Sheet</v>
          </cell>
          <cell r="J75" t="str">
            <v>XAF</v>
          </cell>
          <cell r="K75" t="str">
            <v>Subventions d'investissement</v>
          </cell>
        </row>
        <row r="76">
          <cell r="A76" t="str">
            <v>A75</v>
          </cell>
          <cell r="B76" t="str">
            <v>"150000 - Provisions réglementées et fonds assimilés - OHADA"</v>
          </cell>
          <cell r="C76" t="str">
            <v>Provisions réglementées et fonds assimilés</v>
          </cell>
          <cell r="D76" t="str">
            <v>OHADA</v>
          </cell>
          <cell r="E76" t="str">
            <v>1 - Comptes de ressources durables - OHADA</v>
          </cell>
          <cell r="F76">
            <v>150000</v>
          </cell>
          <cell r="G76" t="str">
            <v>1</v>
          </cell>
          <cell r="H76" t="str">
            <v>Equity</v>
          </cell>
          <cell r="I76" t="str">
            <v>Balance Sheet</v>
          </cell>
          <cell r="J76" t="str">
            <v>XAF</v>
          </cell>
          <cell r="K76" t="str">
            <v>Provisions réglementées </v>
          </cell>
        </row>
        <row r="77">
          <cell r="A77" t="str">
            <v>A76</v>
          </cell>
          <cell r="B77" t="str">
            <v>"151000 - Amortissements dérogatoires - OHADA"</v>
          </cell>
          <cell r="C77" t="str">
            <v>Amortissements dérogatoires</v>
          </cell>
          <cell r="D77" t="str">
            <v>OHADA</v>
          </cell>
          <cell r="E77" t="str">
            <v>150000 - Provisions réglementées et fonds assimilés - OHADA</v>
          </cell>
          <cell r="F77">
            <v>151000</v>
          </cell>
          <cell r="G77" t="str">
            <v>0</v>
          </cell>
          <cell r="H77" t="str">
            <v>Equity</v>
          </cell>
          <cell r="I77" t="str">
            <v>Balance Sheet</v>
          </cell>
          <cell r="J77" t="str">
            <v>XAF</v>
          </cell>
          <cell r="K77" t="str">
            <v>Provisions réglementées </v>
          </cell>
        </row>
        <row r="78">
          <cell r="A78" t="str">
            <v>A77</v>
          </cell>
          <cell r="B78" t="str">
            <v>"152000 - Plus - values de cession à réinvestir - OHADA"</v>
          </cell>
          <cell r="C78" t="str">
            <v>Plus-values de cession à réinvestir</v>
          </cell>
          <cell r="D78" t="str">
            <v>OHADA</v>
          </cell>
          <cell r="E78" t="str">
            <v>150000 - Provisions réglementées et fonds assimilés - OHADA</v>
          </cell>
          <cell r="F78">
            <v>152000</v>
          </cell>
          <cell r="G78" t="str">
            <v>0</v>
          </cell>
          <cell r="H78" t="str">
            <v>Equity</v>
          </cell>
          <cell r="I78" t="str">
            <v>Balance Sheet</v>
          </cell>
          <cell r="J78" t="str">
            <v>XAF</v>
          </cell>
          <cell r="K78" t="str">
            <v>Provisions réglementées </v>
          </cell>
        </row>
        <row r="79">
          <cell r="A79" t="str">
            <v>A78</v>
          </cell>
          <cell r="B79" t="str">
            <v>"153000 - Fonds réglementés - OHADA"</v>
          </cell>
          <cell r="C79" t="str">
            <v>Fonds réglementés</v>
          </cell>
          <cell r="D79" t="str">
            <v>OHADA</v>
          </cell>
          <cell r="E79" t="str">
            <v>150000 - Provisions réglementées et fonds assimilés - OHADA</v>
          </cell>
          <cell r="F79">
            <v>153000</v>
          </cell>
          <cell r="G79" t="str">
            <v>1</v>
          </cell>
          <cell r="H79" t="str">
            <v>Equity</v>
          </cell>
          <cell r="I79" t="str">
            <v>Balance Sheet</v>
          </cell>
          <cell r="J79" t="str">
            <v>XAF</v>
          </cell>
          <cell r="K79" t="str">
            <v>Provisions réglementées </v>
          </cell>
        </row>
        <row r="80">
          <cell r="A80" t="str">
            <v>A79</v>
          </cell>
          <cell r="B80" t="str">
            <v>"153100 - Fonds National - OHADA"</v>
          </cell>
          <cell r="C80" t="str">
            <v>Fonds National</v>
          </cell>
          <cell r="D80" t="str">
            <v>OHADA</v>
          </cell>
          <cell r="E80" t="str">
            <v>153000 - Fonds réglementés - OHADA</v>
          </cell>
          <cell r="F80">
            <v>153100</v>
          </cell>
          <cell r="G80" t="str">
            <v>0</v>
          </cell>
          <cell r="H80" t="str">
            <v>Equity</v>
          </cell>
          <cell r="I80" t="str">
            <v>Balance Sheet</v>
          </cell>
          <cell r="J80" t="str">
            <v>XAF</v>
          </cell>
          <cell r="K80" t="str">
            <v>Provisions réglementées </v>
          </cell>
        </row>
        <row r="81">
          <cell r="A81" t="str">
            <v>A80</v>
          </cell>
          <cell r="B81" t="str">
            <v>"153200 - Prélèvement pour le Budget - OHADA"</v>
          </cell>
          <cell r="C81" t="str">
            <v>Prélèvement pour le Budget</v>
          </cell>
          <cell r="D81" t="str">
            <v>OHADA</v>
          </cell>
          <cell r="E81" t="str">
            <v>153000 - Fonds réglementés - OHADA</v>
          </cell>
          <cell r="F81">
            <v>153200</v>
          </cell>
          <cell r="G81" t="str">
            <v>0</v>
          </cell>
          <cell r="H81" t="str">
            <v>Equity</v>
          </cell>
          <cell r="I81" t="str">
            <v>Balance Sheet</v>
          </cell>
          <cell r="J81" t="str">
            <v>XAF</v>
          </cell>
          <cell r="K81" t="str">
            <v>Provisions réglementées </v>
          </cell>
        </row>
        <row r="82">
          <cell r="A82" t="str">
            <v>A81</v>
          </cell>
          <cell r="B82" t="str">
            <v>"154000 - Provisions spéciales de réévaluation - OHADA"</v>
          </cell>
          <cell r="C82" t="str">
            <v>Provisions spéciales de réévaluation</v>
          </cell>
          <cell r="D82" t="str">
            <v>OHADA</v>
          </cell>
          <cell r="E82" t="str">
            <v>150000 - Provisions réglementées et fonds assimilés - OHADA</v>
          </cell>
          <cell r="F82">
            <v>154000</v>
          </cell>
          <cell r="G82" t="str">
            <v>0</v>
          </cell>
          <cell r="H82" t="str">
            <v>Equity</v>
          </cell>
          <cell r="I82" t="str">
            <v>Balance Sheet</v>
          </cell>
          <cell r="J82" t="str">
            <v>XAF</v>
          </cell>
          <cell r="K82" t="str">
            <v>Provisions réglementées </v>
          </cell>
        </row>
        <row r="83">
          <cell r="A83" t="str">
            <v>A82</v>
          </cell>
          <cell r="B83" t="str">
            <v>"155000 - Provisions réglementées relatives aux immobilisations - OHADA"</v>
          </cell>
          <cell r="C83" t="str">
            <v>Provisions réglementées relatives aux immobilisations</v>
          </cell>
          <cell r="D83" t="str">
            <v>OHADA</v>
          </cell>
          <cell r="E83" t="str">
            <v>150000 - Provisions réglementées et fonds assimilés - OHADA</v>
          </cell>
          <cell r="F83">
            <v>155000</v>
          </cell>
          <cell r="G83" t="str">
            <v>1</v>
          </cell>
          <cell r="H83" t="str">
            <v>Equity</v>
          </cell>
          <cell r="I83" t="str">
            <v>Balance Sheet</v>
          </cell>
          <cell r="J83" t="str">
            <v>XAF</v>
          </cell>
          <cell r="K83" t="str">
            <v>Provisions réglementées </v>
          </cell>
        </row>
        <row r="84">
          <cell r="A84" t="str">
            <v>A83</v>
          </cell>
          <cell r="B84" t="str">
            <v>"155100 - Reconstitution des gisements miniers et pétroliers - OHADA"</v>
          </cell>
          <cell r="C84" t="str">
            <v>Reconstitution des gisements miniers et pétroliers</v>
          </cell>
          <cell r="D84" t="str">
            <v>OHADA</v>
          </cell>
          <cell r="E84" t="str">
            <v>155000 - Provisions réglementées relatives aux immobilisations - OHADA</v>
          </cell>
          <cell r="F84">
            <v>155100</v>
          </cell>
          <cell r="G84" t="str">
            <v>0</v>
          </cell>
          <cell r="H84" t="str">
            <v>Equity</v>
          </cell>
          <cell r="I84" t="str">
            <v>Balance Sheet</v>
          </cell>
          <cell r="J84" t="str">
            <v>XAF</v>
          </cell>
          <cell r="K84" t="str">
            <v>Provisions réglementées </v>
          </cell>
        </row>
        <row r="85">
          <cell r="A85" t="str">
            <v>A84</v>
          </cell>
          <cell r="B85" t="str">
            <v>"156000 - Provisions réglementées relatives aux stocks - OHADA"</v>
          </cell>
          <cell r="C85" t="str">
            <v>Provisions réglementées relatives aux stocks</v>
          </cell>
          <cell r="D85" t="str">
            <v>OHADA</v>
          </cell>
          <cell r="E85" t="str">
            <v>150000 - Provisions réglementées et fonds assimilés - OHADA</v>
          </cell>
          <cell r="F85">
            <v>156000</v>
          </cell>
          <cell r="G85" t="str">
            <v>1</v>
          </cell>
          <cell r="H85" t="str">
            <v>Equity</v>
          </cell>
          <cell r="I85" t="str">
            <v>Balance Sheet</v>
          </cell>
          <cell r="J85" t="str">
            <v>XAF</v>
          </cell>
          <cell r="K85" t="str">
            <v>Provisions réglementées </v>
          </cell>
        </row>
        <row r="86">
          <cell r="A86" t="str">
            <v>A85</v>
          </cell>
          <cell r="B86" t="str">
            <v>"156100 - Hausse de prix - OHADA"</v>
          </cell>
          <cell r="C86" t="str">
            <v>Hausse de prix</v>
          </cell>
          <cell r="D86" t="str">
            <v>OHADA</v>
          </cell>
          <cell r="E86" t="str">
            <v>156000 - Provisions réglementées relatives aux stocks - OHADA</v>
          </cell>
          <cell r="F86">
            <v>156100</v>
          </cell>
          <cell r="G86" t="str">
            <v>0</v>
          </cell>
          <cell r="H86" t="str">
            <v>Equity</v>
          </cell>
          <cell r="I86" t="str">
            <v>Balance Sheet</v>
          </cell>
          <cell r="J86" t="str">
            <v>XAF</v>
          </cell>
          <cell r="K86" t="str">
            <v>Provisions réglementées </v>
          </cell>
        </row>
        <row r="87">
          <cell r="A87" t="str">
            <v>A86</v>
          </cell>
          <cell r="B87" t="str">
            <v>"156200 - Fluctuation des cours - OHADA"</v>
          </cell>
          <cell r="C87" t="str">
            <v>Fluctuation des cours</v>
          </cell>
          <cell r="D87" t="str">
            <v>OHADA</v>
          </cell>
          <cell r="E87" t="str">
            <v>156000 - Provisions réglementées relatives aux stocks - OHADA</v>
          </cell>
          <cell r="F87">
            <v>156200</v>
          </cell>
          <cell r="G87" t="str">
            <v>0</v>
          </cell>
          <cell r="H87" t="str">
            <v>Equity</v>
          </cell>
          <cell r="I87" t="str">
            <v>Balance Sheet</v>
          </cell>
          <cell r="J87" t="str">
            <v>XAF</v>
          </cell>
          <cell r="K87" t="str">
            <v>Provisions réglementées </v>
          </cell>
        </row>
        <row r="88">
          <cell r="A88" t="str">
            <v>A87</v>
          </cell>
          <cell r="B88" t="str">
            <v>"157000 - Provisions pour investissement - OHADA"</v>
          </cell>
          <cell r="C88" t="str">
            <v>Provisions pour investissement</v>
          </cell>
          <cell r="D88" t="str">
            <v>OHADA</v>
          </cell>
          <cell r="E88" t="str">
            <v>150000 - Provisions réglementées et fonds assimilés - OHADA</v>
          </cell>
          <cell r="F88">
            <v>157000</v>
          </cell>
          <cell r="G88" t="str">
            <v>0</v>
          </cell>
          <cell r="H88" t="str">
            <v>Equity</v>
          </cell>
          <cell r="I88" t="str">
            <v>Balance Sheet</v>
          </cell>
          <cell r="J88" t="str">
            <v>XAF</v>
          </cell>
          <cell r="K88" t="str">
            <v>Provisions réglementées </v>
          </cell>
        </row>
        <row r="89">
          <cell r="A89" t="str">
            <v>A88</v>
          </cell>
          <cell r="B89" t="str">
            <v>"158000 - Autres provisions et fonds réglementés - OHADA"</v>
          </cell>
          <cell r="C89" t="str">
            <v>Autres provisions et fonds réglementés</v>
          </cell>
          <cell r="D89" t="str">
            <v>OHADA</v>
          </cell>
          <cell r="E89" t="str">
            <v>150000 - Provisions réglementées et fonds assimilés - OHADA</v>
          </cell>
          <cell r="F89">
            <v>158000</v>
          </cell>
          <cell r="G89" t="str">
            <v>0</v>
          </cell>
          <cell r="H89" t="str">
            <v>Equity</v>
          </cell>
          <cell r="I89" t="str">
            <v>Balance Sheet</v>
          </cell>
          <cell r="J89" t="str">
            <v>XAF</v>
          </cell>
          <cell r="K89" t="str">
            <v>Provisions réglementées </v>
          </cell>
        </row>
        <row r="90">
          <cell r="A90" t="str">
            <v>A89</v>
          </cell>
          <cell r="B90" t="str">
            <v>"160000 - Emprunts et dettes assimilées - OHADA"</v>
          </cell>
          <cell r="C90" t="str">
            <v>Emprunts et dettes assimilées</v>
          </cell>
          <cell r="D90" t="str">
            <v>OHADA</v>
          </cell>
          <cell r="E90" t="str">
            <v>1 - Comptes de ressources durables - OHADA</v>
          </cell>
          <cell r="F90">
            <v>160000</v>
          </cell>
          <cell r="G90" t="str">
            <v>1</v>
          </cell>
          <cell r="H90" t="str">
            <v>Equity</v>
          </cell>
          <cell r="I90" t="str">
            <v>Balance Sheet</v>
          </cell>
          <cell r="J90" t="str">
            <v>XAF</v>
          </cell>
          <cell r="K90" t="str">
            <v>Emprunts et dettes financières diverses</v>
          </cell>
        </row>
        <row r="91">
          <cell r="A91" t="str">
            <v>A90</v>
          </cell>
          <cell r="B91" t="str">
            <v>"161000 - Emprunts obligataires - OHADA"</v>
          </cell>
          <cell r="C91" t="str">
            <v>Emprunts obligataires</v>
          </cell>
          <cell r="D91" t="str">
            <v>OHADA</v>
          </cell>
          <cell r="E91" t="str">
            <v>160000 - Emprunts et dettes assimilées - OHADA</v>
          </cell>
          <cell r="F91">
            <v>161000</v>
          </cell>
          <cell r="G91" t="str">
            <v>1</v>
          </cell>
          <cell r="H91" t="str">
            <v>Equity</v>
          </cell>
          <cell r="I91" t="str">
            <v>Balance Sheet</v>
          </cell>
          <cell r="J91" t="str">
            <v>XAF</v>
          </cell>
          <cell r="K91" t="str">
            <v>Emprunts et dettes financières diverses</v>
          </cell>
        </row>
        <row r="92">
          <cell r="A92" t="str">
            <v>A91</v>
          </cell>
          <cell r="B92" t="str">
            <v>"161100 - Emprunts obligataires ordinaires - OHADA"</v>
          </cell>
          <cell r="C92" t="str">
            <v>Emprunts obligataires ordinaires</v>
          </cell>
          <cell r="D92" t="str">
            <v>OHADA</v>
          </cell>
          <cell r="E92" t="str">
            <v>161000 - Emprunts obligataires - OHADA</v>
          </cell>
          <cell r="F92">
            <v>161100</v>
          </cell>
          <cell r="G92" t="str">
            <v>0</v>
          </cell>
          <cell r="H92" t="str">
            <v>Equity</v>
          </cell>
          <cell r="I92" t="str">
            <v>Balance Sheet</v>
          </cell>
          <cell r="J92" t="str">
            <v>XAF</v>
          </cell>
          <cell r="K92" t="str">
            <v>Emprunts et dettes financières diverses</v>
          </cell>
        </row>
        <row r="93">
          <cell r="A93" t="str">
            <v>A92</v>
          </cell>
          <cell r="B93" t="str">
            <v>"161200 - Emprunts obligataires convertibles en actions - OHADA"</v>
          </cell>
          <cell r="C93" t="str">
            <v>Emprunts obligataires convertibles en actions</v>
          </cell>
          <cell r="D93" t="str">
            <v>OHADA</v>
          </cell>
          <cell r="E93" t="str">
            <v>161000 - Emprunts obligataires - OHADA</v>
          </cell>
          <cell r="F93">
            <v>161200</v>
          </cell>
          <cell r="G93" t="str">
            <v>0</v>
          </cell>
          <cell r="H93" t="str">
            <v>Equity</v>
          </cell>
          <cell r="I93" t="str">
            <v>Balance Sheet</v>
          </cell>
          <cell r="J93" t="str">
            <v>XAF</v>
          </cell>
          <cell r="K93" t="str">
            <v>Emprunts et dettes financières diverses</v>
          </cell>
        </row>
        <row r="94">
          <cell r="A94" t="str">
            <v>A93</v>
          </cell>
          <cell r="B94" t="str">
            <v>"161300 - Emprunts obligataires remboursables en actions - OHADA"</v>
          </cell>
          <cell r="C94" t="str">
            <v>Emprunts obligataires remboursables en actions</v>
          </cell>
          <cell r="D94" t="str">
            <v>OHADA</v>
          </cell>
          <cell r="E94" t="str">
            <v>161000 - Emprunts obligataires - OHADA</v>
          </cell>
          <cell r="F94">
            <v>161300</v>
          </cell>
          <cell r="G94" t="str">
            <v>0</v>
          </cell>
          <cell r="H94" t="str">
            <v>Equity</v>
          </cell>
          <cell r="I94" t="str">
            <v>Balance Sheet</v>
          </cell>
          <cell r="J94" t="str">
            <v>XAF</v>
          </cell>
          <cell r="K94" t="str">
            <v>Emprunts et dettes financières diverses</v>
          </cell>
        </row>
        <row r="95">
          <cell r="A95" t="str">
            <v>A94</v>
          </cell>
          <cell r="B95" t="str">
            <v>"161800 - Autres emprunts obligataires - OHADA"</v>
          </cell>
          <cell r="C95" t="str">
            <v>Autres emprunts obligataires</v>
          </cell>
          <cell r="D95" t="str">
            <v>OHADA</v>
          </cell>
          <cell r="E95" t="str">
            <v>161000 - Emprunts obligataires - OHADA</v>
          </cell>
          <cell r="F95">
            <v>161800</v>
          </cell>
          <cell r="G95" t="str">
            <v>0</v>
          </cell>
          <cell r="H95" t="str">
            <v>Equity</v>
          </cell>
          <cell r="I95" t="str">
            <v>Balance Sheet</v>
          </cell>
          <cell r="J95" t="str">
            <v>XAF</v>
          </cell>
          <cell r="K95" t="str">
            <v>Emprunts et dettes financières diverses</v>
          </cell>
        </row>
        <row r="96">
          <cell r="A96" t="str">
            <v>A95</v>
          </cell>
          <cell r="B96" t="str">
            <v>"162000 - Emprunts et dettes auprès des établissements de crédit - OHADA"</v>
          </cell>
          <cell r="C96" t="str">
            <v>Emprunts et dettes auprès des établissements de crédit</v>
          </cell>
          <cell r="D96" t="str">
            <v>OHADA</v>
          </cell>
          <cell r="E96" t="str">
            <v>160000 - Emprunts et dettes assimilées - OHADA</v>
          </cell>
          <cell r="F96">
            <v>162000</v>
          </cell>
          <cell r="G96" t="str">
            <v>0</v>
          </cell>
          <cell r="H96" t="str">
            <v>Equity</v>
          </cell>
          <cell r="I96" t="str">
            <v>Balance Sheet</v>
          </cell>
          <cell r="J96" t="str">
            <v>XAF</v>
          </cell>
          <cell r="K96" t="str">
            <v>Emprunts et dettes financières diverses</v>
          </cell>
        </row>
        <row r="97">
          <cell r="A97" t="str">
            <v>A96</v>
          </cell>
          <cell r="B97" t="str">
            <v>"163000 - Avances reçues de l’État - OHADA"</v>
          </cell>
          <cell r="C97" t="str">
            <v>Avances reçues de l’État</v>
          </cell>
          <cell r="D97" t="str">
            <v>OHADA</v>
          </cell>
          <cell r="E97" t="str">
            <v>160000 - Emprunts et dettes assimilées - OHADA</v>
          </cell>
          <cell r="F97">
            <v>163000</v>
          </cell>
          <cell r="G97" t="str">
            <v>0</v>
          </cell>
          <cell r="H97" t="str">
            <v>Equity</v>
          </cell>
          <cell r="I97" t="str">
            <v>Balance Sheet</v>
          </cell>
          <cell r="J97" t="str">
            <v>XAF</v>
          </cell>
          <cell r="K97" t="str">
            <v>Emprunts et dettes financières diverses</v>
          </cell>
        </row>
        <row r="98">
          <cell r="A98" t="str">
            <v>A97</v>
          </cell>
          <cell r="B98" t="str">
            <v>"164000 - Avances reçues et comptes courants bloqués - OHADA"</v>
          </cell>
          <cell r="C98" t="str">
            <v>Avances reçues et comptes courants bloqués</v>
          </cell>
          <cell r="D98" t="str">
            <v>OHADA</v>
          </cell>
          <cell r="E98" t="str">
            <v>160000 - Emprunts et dettes assimilées - OHADA</v>
          </cell>
          <cell r="F98">
            <v>164000</v>
          </cell>
          <cell r="G98" t="str">
            <v>0</v>
          </cell>
          <cell r="H98" t="str">
            <v>Equity</v>
          </cell>
          <cell r="I98" t="str">
            <v>Balance Sheet</v>
          </cell>
          <cell r="J98" t="str">
            <v>XAF</v>
          </cell>
          <cell r="K98" t="str">
            <v>Emprunts et dettes financières diverses</v>
          </cell>
        </row>
        <row r="99">
          <cell r="A99" t="str">
            <v>A98</v>
          </cell>
          <cell r="B99" t="str">
            <v>"165000 - Dépôts et cautionnements reçus - OHADA"</v>
          </cell>
          <cell r="C99" t="str">
            <v>Dépôts et cautionnements reçus</v>
          </cell>
          <cell r="D99" t="str">
            <v>OHADA</v>
          </cell>
          <cell r="E99" t="str">
            <v>160000 - Emprunts et dettes assimilées - OHADA</v>
          </cell>
          <cell r="F99">
            <v>165000</v>
          </cell>
          <cell r="G99" t="str">
            <v>1</v>
          </cell>
          <cell r="H99" t="str">
            <v>Equity</v>
          </cell>
          <cell r="I99" t="str">
            <v>Balance Sheet</v>
          </cell>
          <cell r="J99" t="str">
            <v>XAF</v>
          </cell>
          <cell r="K99" t="str">
            <v>Emprunts et dettes financières diverses</v>
          </cell>
        </row>
        <row r="100">
          <cell r="A100" t="str">
            <v>A99</v>
          </cell>
          <cell r="B100" t="str">
            <v>"165100 - Dépôts - OHADA"</v>
          </cell>
          <cell r="C100" t="str">
            <v>Dépôts</v>
          </cell>
          <cell r="D100" t="str">
            <v>OHADA</v>
          </cell>
          <cell r="E100" t="str">
            <v>165000 - Dépôts et cautionnements reçus - OHADA</v>
          </cell>
          <cell r="F100">
            <v>165100</v>
          </cell>
          <cell r="G100" t="str">
            <v>0</v>
          </cell>
          <cell r="H100" t="str">
            <v>Equity</v>
          </cell>
          <cell r="I100" t="str">
            <v>Balance Sheet</v>
          </cell>
          <cell r="J100" t="str">
            <v>XAF</v>
          </cell>
          <cell r="K100" t="str">
            <v>Emprunts et dettes financières diverses</v>
          </cell>
        </row>
        <row r="101">
          <cell r="A101" t="str">
            <v>A100</v>
          </cell>
          <cell r="B101" t="str">
            <v>"165200 - Cautionnements - OHADA"</v>
          </cell>
          <cell r="C101" t="str">
            <v>Cautionnements</v>
          </cell>
          <cell r="D101" t="str">
            <v>OHADA</v>
          </cell>
          <cell r="E101" t="str">
            <v>165000 - Dépôts et cautionnements reçus - OHADA</v>
          </cell>
          <cell r="F101">
            <v>165200</v>
          </cell>
          <cell r="G101" t="str">
            <v>0</v>
          </cell>
          <cell r="H101" t="str">
            <v>Equity</v>
          </cell>
          <cell r="I101" t="str">
            <v>Balance Sheet</v>
          </cell>
          <cell r="J101" t="str">
            <v>XAF</v>
          </cell>
          <cell r="K101" t="str">
            <v>Emprunts et dettes financières diverses</v>
          </cell>
        </row>
        <row r="102">
          <cell r="A102" t="str">
            <v>A101</v>
          </cell>
          <cell r="B102" t="str">
            <v>"166000 - Intérêts courus - OHADA"</v>
          </cell>
          <cell r="C102" t="str">
            <v>Intérêts courus</v>
          </cell>
          <cell r="D102" t="str">
            <v>OHADA</v>
          </cell>
          <cell r="E102" t="str">
            <v>160000 - Emprunts et dettes assimilées - OHADA</v>
          </cell>
          <cell r="F102">
            <v>166000</v>
          </cell>
          <cell r="G102" t="str">
            <v>1</v>
          </cell>
          <cell r="H102" t="str">
            <v>Equity</v>
          </cell>
          <cell r="I102" t="str">
            <v>Balance Sheet</v>
          </cell>
          <cell r="J102" t="str">
            <v>XAF</v>
          </cell>
          <cell r="K102" t="str">
            <v>Emprunts et dettes financières diverses</v>
          </cell>
        </row>
        <row r="103">
          <cell r="A103" t="str">
            <v>A102</v>
          </cell>
          <cell r="B103" t="str">
            <v>"166100 - Sur emprunts obligataires - OHADA"</v>
          </cell>
          <cell r="C103" t="str">
            <v>Sur emprunts obligataires</v>
          </cell>
          <cell r="D103" t="str">
            <v>OHADA</v>
          </cell>
          <cell r="E103" t="str">
            <v>166000 - Intérêts courus - OHADA</v>
          </cell>
          <cell r="F103">
            <v>166100</v>
          </cell>
          <cell r="G103" t="str">
            <v>0</v>
          </cell>
          <cell r="H103" t="str">
            <v>Equity</v>
          </cell>
          <cell r="I103" t="str">
            <v>Balance Sheet</v>
          </cell>
          <cell r="J103" t="str">
            <v>XAF</v>
          </cell>
          <cell r="K103" t="str">
            <v>Emprunts et dettes financières diverses</v>
          </cell>
        </row>
        <row r="104">
          <cell r="A104" t="str">
            <v>A103</v>
          </cell>
          <cell r="B104" t="str">
            <v>"166200 - Sur emprunts et dettes auprès des établissements de crédit - OHADA"</v>
          </cell>
          <cell r="C104" t="str">
            <v>Sur emprunts et dettes auprès des établissements de crédit</v>
          </cell>
          <cell r="D104" t="str">
            <v>OHADA</v>
          </cell>
          <cell r="E104" t="str">
            <v>166000 - Intérêts courus - OHADA</v>
          </cell>
          <cell r="F104">
            <v>166200</v>
          </cell>
          <cell r="G104" t="str">
            <v>0</v>
          </cell>
          <cell r="H104" t="str">
            <v>Equity</v>
          </cell>
          <cell r="I104" t="str">
            <v>Balance Sheet</v>
          </cell>
          <cell r="J104" t="str">
            <v>XAF</v>
          </cell>
          <cell r="K104" t="str">
            <v>Emprunts et dettes financières diverses</v>
          </cell>
        </row>
        <row r="105">
          <cell r="A105" t="str">
            <v>A104</v>
          </cell>
          <cell r="B105" t="str">
            <v>"166300 - Sur avances reçues de l’État - OHADA"</v>
          </cell>
          <cell r="C105" t="str">
            <v>Sur avances reçues de l’État</v>
          </cell>
          <cell r="D105" t="str">
            <v>OHADA</v>
          </cell>
          <cell r="E105" t="str">
            <v>166000 - Intérêts courus - OHADA</v>
          </cell>
          <cell r="F105">
            <v>166300</v>
          </cell>
          <cell r="G105" t="str">
            <v>0</v>
          </cell>
          <cell r="H105" t="str">
            <v>Equity</v>
          </cell>
          <cell r="I105" t="str">
            <v>Balance Sheet</v>
          </cell>
          <cell r="J105" t="str">
            <v>XAF</v>
          </cell>
          <cell r="K105" t="str">
            <v>Emprunts et dettes financières diverses</v>
          </cell>
        </row>
        <row r="106">
          <cell r="A106" t="str">
            <v>A105</v>
          </cell>
          <cell r="B106" t="str">
            <v>"166400 - Sur avances reçues et comptes courants bloqués - OHADA"</v>
          </cell>
          <cell r="C106" t="str">
            <v>Sur avances reçues et comptes courants bloqués</v>
          </cell>
          <cell r="D106" t="str">
            <v>OHADA</v>
          </cell>
          <cell r="E106" t="str">
            <v>166000 - Intérêts courus - OHADA</v>
          </cell>
          <cell r="F106">
            <v>166400</v>
          </cell>
          <cell r="G106" t="str">
            <v>0</v>
          </cell>
          <cell r="H106" t="str">
            <v>Equity</v>
          </cell>
          <cell r="I106" t="str">
            <v>Balance Sheet</v>
          </cell>
          <cell r="J106" t="str">
            <v>XAF</v>
          </cell>
          <cell r="K106" t="str">
            <v>Emprunts et dettes financières diverses</v>
          </cell>
        </row>
        <row r="107">
          <cell r="A107" t="str">
            <v>A106</v>
          </cell>
          <cell r="B107" t="str">
            <v>"166500 - Sur dépôts et cautionnements reçus - OHADA"</v>
          </cell>
          <cell r="C107" t="str">
            <v>Sur dépôts et cautionnements reçus</v>
          </cell>
          <cell r="D107" t="str">
            <v>OHADA</v>
          </cell>
          <cell r="E107" t="str">
            <v>166000 - Intérêts courus - OHADA</v>
          </cell>
          <cell r="F107">
            <v>166500</v>
          </cell>
          <cell r="G107" t="str">
            <v>0</v>
          </cell>
          <cell r="H107" t="str">
            <v>Equity</v>
          </cell>
          <cell r="I107" t="str">
            <v>Balance Sheet</v>
          </cell>
          <cell r="J107" t="str">
            <v>XAF</v>
          </cell>
          <cell r="K107" t="str">
            <v>Emprunts et dettes financières diverses</v>
          </cell>
        </row>
        <row r="108">
          <cell r="A108" t="str">
            <v>A107</v>
          </cell>
          <cell r="B108" t="str">
            <v>"166700 - Sur avances assorties de conditions particulières - OHADA"</v>
          </cell>
          <cell r="C108" t="str">
            <v>Sur avances assorties de conditions particulières</v>
          </cell>
          <cell r="D108" t="str">
            <v>OHADA</v>
          </cell>
          <cell r="E108" t="str">
            <v>166000 - Intérêts courus - OHADA</v>
          </cell>
          <cell r="F108">
            <v>166700</v>
          </cell>
          <cell r="G108" t="str">
            <v>0</v>
          </cell>
          <cell r="H108" t="str">
            <v>Equity</v>
          </cell>
          <cell r="I108" t="str">
            <v>Balance Sheet</v>
          </cell>
          <cell r="J108" t="str">
            <v>XAF</v>
          </cell>
          <cell r="K108" t="str">
            <v>Emprunts et dettes financières diverses</v>
          </cell>
        </row>
        <row r="109">
          <cell r="A109" t="str">
            <v>A108</v>
          </cell>
          <cell r="B109" t="str">
            <v>"166800 - Sur autres emprunts et dettes - OHADA"</v>
          </cell>
          <cell r="C109" t="str">
            <v>Sur autres emprunts et dettes</v>
          </cell>
          <cell r="D109" t="str">
            <v>OHADA</v>
          </cell>
          <cell r="E109" t="str">
            <v>166000 - Intérêts courus - OHADA</v>
          </cell>
          <cell r="F109">
            <v>166800</v>
          </cell>
          <cell r="G109" t="str">
            <v>0</v>
          </cell>
          <cell r="H109" t="str">
            <v>Equity</v>
          </cell>
          <cell r="I109" t="str">
            <v>Balance Sheet</v>
          </cell>
          <cell r="J109" t="str">
            <v>XAF</v>
          </cell>
          <cell r="K109" t="str">
            <v>Emprunts et dettes financières diverses</v>
          </cell>
        </row>
        <row r="110">
          <cell r="A110" t="str">
            <v>A109</v>
          </cell>
          <cell r="B110" t="str">
            <v>"167000 - Avances assorties de conditions particulières - OHADA"</v>
          </cell>
          <cell r="C110" t="str">
            <v>Avances assorties de conditions particulières</v>
          </cell>
          <cell r="D110" t="str">
            <v>OHADA</v>
          </cell>
          <cell r="E110" t="str">
            <v>160000 - Emprunts et dettes assimilées - OHADA</v>
          </cell>
          <cell r="F110">
            <v>167000</v>
          </cell>
          <cell r="G110" t="str">
            <v>1</v>
          </cell>
          <cell r="H110" t="str">
            <v>Equity</v>
          </cell>
          <cell r="I110" t="str">
            <v>Balance Sheet</v>
          </cell>
          <cell r="J110" t="str">
            <v>XAF</v>
          </cell>
          <cell r="K110" t="str">
            <v>Emprunts et dettes financières diverses</v>
          </cell>
        </row>
        <row r="111">
          <cell r="A111" t="str">
            <v>A110</v>
          </cell>
          <cell r="B111" t="str">
            <v>"167100 - Avances bloquées pour augmentation du capital - OHADA"</v>
          </cell>
          <cell r="C111" t="str">
            <v>Avances bloquées pour augmentation du capital</v>
          </cell>
          <cell r="D111" t="str">
            <v>OHADA</v>
          </cell>
          <cell r="E111" t="str">
            <v>167000 - Avances assorties de conditions particulières - OHADA</v>
          </cell>
          <cell r="F111">
            <v>167100</v>
          </cell>
          <cell r="G111" t="str">
            <v>0</v>
          </cell>
          <cell r="H111" t="str">
            <v>Equity</v>
          </cell>
          <cell r="I111" t="str">
            <v>Balance Sheet</v>
          </cell>
          <cell r="J111" t="str">
            <v>XAF</v>
          </cell>
          <cell r="K111" t="str">
            <v>Emprunts et dettes financières diverses</v>
          </cell>
        </row>
        <row r="112">
          <cell r="A112" t="str">
            <v>A111</v>
          </cell>
          <cell r="B112" t="str">
            <v>"167200 - Avances conditionnées par l’État - OHADA"</v>
          </cell>
          <cell r="C112" t="str">
            <v>Avances conditionnées par l’État</v>
          </cell>
          <cell r="D112" t="str">
            <v>OHADA</v>
          </cell>
          <cell r="E112" t="str">
            <v>167000 - Avances assorties de conditions particulières - OHADA</v>
          </cell>
          <cell r="F112">
            <v>167200</v>
          </cell>
          <cell r="G112" t="str">
            <v>0</v>
          </cell>
          <cell r="H112" t="str">
            <v>Equity</v>
          </cell>
          <cell r="I112" t="str">
            <v>Balance Sheet</v>
          </cell>
          <cell r="J112" t="str">
            <v>XAF</v>
          </cell>
          <cell r="K112" t="str">
            <v>Emprunts et dettes financières diverses</v>
          </cell>
        </row>
        <row r="113">
          <cell r="A113" t="str">
            <v>A112</v>
          </cell>
          <cell r="B113" t="str">
            <v>"167300 - Avances conditionnées par les autres organismes africains - OHADA"</v>
          </cell>
          <cell r="C113" t="str">
            <v>Avances conditionnées par les autres organismes africains</v>
          </cell>
          <cell r="D113" t="str">
            <v>OHADA</v>
          </cell>
          <cell r="E113" t="str">
            <v>167000 - Avances assorties de conditions particulières - OHADA</v>
          </cell>
          <cell r="F113">
            <v>167300</v>
          </cell>
          <cell r="G113" t="str">
            <v>0</v>
          </cell>
          <cell r="H113" t="str">
            <v>Equity</v>
          </cell>
          <cell r="I113" t="str">
            <v>Balance Sheet</v>
          </cell>
          <cell r="J113" t="str">
            <v>XAF</v>
          </cell>
          <cell r="K113" t="str">
            <v>Emprunts et dettes financières diverses</v>
          </cell>
        </row>
        <row r="114">
          <cell r="A114" t="str">
            <v>A113</v>
          </cell>
          <cell r="B114" t="str">
            <v>"167400 - Avances conditionnées par les organismes internationaux - OHADA"</v>
          </cell>
          <cell r="C114" t="str">
            <v>Avances conditionnées par les organismes internationaux</v>
          </cell>
          <cell r="D114" t="str">
            <v>OHADA</v>
          </cell>
          <cell r="E114" t="str">
            <v>167000 - Avances assorties de conditions particulières - OHADA</v>
          </cell>
          <cell r="F114">
            <v>167400</v>
          </cell>
          <cell r="G114" t="str">
            <v>0</v>
          </cell>
          <cell r="H114" t="str">
            <v>Equity</v>
          </cell>
          <cell r="I114" t="str">
            <v>Balance Sheet</v>
          </cell>
          <cell r="J114" t="str">
            <v>XAF</v>
          </cell>
          <cell r="K114" t="str">
            <v>Emprunts et dettes financières diverses</v>
          </cell>
        </row>
        <row r="115">
          <cell r="A115" t="str">
            <v>A114</v>
          </cell>
          <cell r="B115" t="str">
            <v>"168000 - Autres emprunts et dettes - OHADA"</v>
          </cell>
          <cell r="C115" t="str">
            <v>Autres emprunts et dettes</v>
          </cell>
          <cell r="D115" t="str">
            <v>OHADA</v>
          </cell>
          <cell r="E115" t="str">
            <v>160000 - Emprunts et dettes assimilées - OHADA</v>
          </cell>
          <cell r="F115">
            <v>168000</v>
          </cell>
          <cell r="G115" t="str">
            <v>1</v>
          </cell>
          <cell r="H115" t="str">
            <v>Equity</v>
          </cell>
          <cell r="I115" t="str">
            <v>Balance Sheet</v>
          </cell>
          <cell r="J115" t="str">
            <v>XAF</v>
          </cell>
          <cell r="K115" t="str">
            <v>Emprunts et dettes financières diverses</v>
          </cell>
        </row>
        <row r="116">
          <cell r="A116" t="str">
            <v>A115</v>
          </cell>
          <cell r="B116" t="str">
            <v>"168100 - Rentes viagères capitalisées - OHADA"</v>
          </cell>
          <cell r="C116" t="str">
            <v>Rentes viagères capitalisées</v>
          </cell>
          <cell r="D116" t="str">
            <v>OHADA</v>
          </cell>
          <cell r="E116" t="str">
            <v>168000 - Autres emprunts et dettes - OHADA</v>
          </cell>
          <cell r="F116">
            <v>168100</v>
          </cell>
          <cell r="G116" t="str">
            <v>0</v>
          </cell>
          <cell r="H116" t="str">
            <v>Equity</v>
          </cell>
          <cell r="I116" t="str">
            <v>Balance Sheet</v>
          </cell>
          <cell r="J116" t="str">
            <v>XAF</v>
          </cell>
          <cell r="K116" t="str">
            <v>Emprunts et dettes financières diverses</v>
          </cell>
        </row>
        <row r="117">
          <cell r="A117" t="str">
            <v>A116</v>
          </cell>
          <cell r="B117" t="str">
            <v>"168200 - Billets de fonds - OHADA"</v>
          </cell>
          <cell r="C117" t="str">
            <v>Billets de fonds</v>
          </cell>
          <cell r="D117" t="str">
            <v>OHADA</v>
          </cell>
          <cell r="E117" t="str">
            <v>168000 - Autres emprunts et dettes - OHADA</v>
          </cell>
          <cell r="F117">
            <v>168200</v>
          </cell>
          <cell r="G117" t="str">
            <v>0</v>
          </cell>
          <cell r="H117" t="str">
            <v>Equity</v>
          </cell>
          <cell r="I117" t="str">
            <v>Balance Sheet</v>
          </cell>
          <cell r="J117" t="str">
            <v>XAF</v>
          </cell>
          <cell r="K117" t="str">
            <v>Emprunts et dettes financières diverses</v>
          </cell>
        </row>
        <row r="118">
          <cell r="A118" t="str">
            <v>A117</v>
          </cell>
          <cell r="B118" t="str">
            <v>"168300 - Dettes consécutives à des titres empruntés - OHADA"</v>
          </cell>
          <cell r="C118" t="str">
            <v>Dettes consécutives à des titres empruntés</v>
          </cell>
          <cell r="D118" t="str">
            <v>OHADA</v>
          </cell>
          <cell r="E118" t="str">
            <v>168000 - Autres emprunts et dettes - OHADA</v>
          </cell>
          <cell r="F118">
            <v>168300</v>
          </cell>
          <cell r="G118" t="str">
            <v>0</v>
          </cell>
          <cell r="H118" t="str">
            <v>Equity</v>
          </cell>
          <cell r="I118" t="str">
            <v>Balance Sheet</v>
          </cell>
          <cell r="J118" t="str">
            <v>XAF</v>
          </cell>
          <cell r="K118" t="str">
            <v>Emprunts et dettes financières diverses</v>
          </cell>
        </row>
        <row r="119">
          <cell r="A119" t="str">
            <v>A118</v>
          </cell>
          <cell r="B119" t="str">
            <v>"168400 - Emprunts participatifs - OHADA"</v>
          </cell>
          <cell r="C119" t="str">
            <v>Emprunts participatifs</v>
          </cell>
          <cell r="D119" t="str">
            <v>OHADA</v>
          </cell>
          <cell r="E119" t="str">
            <v>168000 - Autres emprunts et dettes - OHADA</v>
          </cell>
          <cell r="F119">
            <v>168400</v>
          </cell>
          <cell r="G119" t="str">
            <v>0</v>
          </cell>
          <cell r="H119" t="str">
            <v>Equity</v>
          </cell>
          <cell r="I119" t="str">
            <v>Balance Sheet</v>
          </cell>
          <cell r="J119" t="str">
            <v>XAF</v>
          </cell>
          <cell r="K119" t="str">
            <v>Emprunts et dettes financières diverses</v>
          </cell>
        </row>
        <row r="120">
          <cell r="A120" t="str">
            <v>A119</v>
          </cell>
          <cell r="B120" t="str">
            <v>"168500 - Participation des travailleurs aux bénéfices - OHADA"</v>
          </cell>
          <cell r="C120" t="str">
            <v>Participation des travailleurs aux bénéfices</v>
          </cell>
          <cell r="D120" t="str">
            <v>OHADA</v>
          </cell>
          <cell r="E120" t="str">
            <v>168000 - Autres emprunts et dettes - OHADA</v>
          </cell>
          <cell r="F120">
            <v>168500</v>
          </cell>
          <cell r="G120" t="str">
            <v>0</v>
          </cell>
          <cell r="H120" t="str">
            <v>Equity</v>
          </cell>
          <cell r="I120" t="str">
            <v>Balance Sheet</v>
          </cell>
          <cell r="J120" t="str">
            <v>XAF</v>
          </cell>
          <cell r="K120" t="str">
            <v>Emprunts et dettes financières diverses</v>
          </cell>
        </row>
        <row r="121">
          <cell r="A121" t="str">
            <v>A120</v>
          </cell>
          <cell r="B121" t="str">
            <v>"168600 - Emprunts et dettes contractés auprès des autres tiers - OHADA"</v>
          </cell>
          <cell r="C121" t="str">
            <v>Emprunts et dettes contractés auprès des autres tiers</v>
          </cell>
          <cell r="D121" t="str">
            <v>OHADA</v>
          </cell>
          <cell r="E121" t="str">
            <v>168000 - Autres emprunts et dettes - OHADA</v>
          </cell>
          <cell r="F121">
            <v>168600</v>
          </cell>
          <cell r="G121" t="str">
            <v>0</v>
          </cell>
          <cell r="H121" t="str">
            <v>Equity</v>
          </cell>
          <cell r="I121" t="str">
            <v>Balance Sheet</v>
          </cell>
          <cell r="J121" t="str">
            <v>XAF</v>
          </cell>
          <cell r="K121" t="str">
            <v>Emprunts et dettes financières diverses</v>
          </cell>
        </row>
        <row r="122">
          <cell r="A122" t="str">
            <v>A121</v>
          </cell>
          <cell r="B122" t="str">
            <v>"170000 - Dettes de location acquisition - OHADA"</v>
          </cell>
          <cell r="C122" t="str">
            <v>Dettes de location acquisition</v>
          </cell>
          <cell r="D122" t="str">
            <v>OHADA</v>
          </cell>
          <cell r="E122" t="str">
            <v>1 - Comptes de ressources durables - OHADA</v>
          </cell>
          <cell r="F122">
            <v>170000</v>
          </cell>
          <cell r="G122" t="str">
            <v>1</v>
          </cell>
          <cell r="H122" t="str">
            <v>Equity</v>
          </cell>
          <cell r="I122" t="str">
            <v>Balance Sheet</v>
          </cell>
          <cell r="J122" t="str">
            <v>XAF</v>
          </cell>
          <cell r="K122" t="str">
            <v>Dettes de location acquisition</v>
          </cell>
        </row>
        <row r="123">
          <cell r="A123" t="str">
            <v>A122</v>
          </cell>
          <cell r="B123" t="str">
            <v>"172000 - Dettes de location acquisition / crédit bail immobilier - OHADA"</v>
          </cell>
          <cell r="C123" t="str">
            <v>Dettes de location acquisition / crédit bail immobilier</v>
          </cell>
          <cell r="D123" t="str">
            <v>OHADA</v>
          </cell>
          <cell r="E123" t="str">
            <v>170000 - Dettes de location acquisition - OHADA</v>
          </cell>
          <cell r="F123">
            <v>172000</v>
          </cell>
          <cell r="G123" t="str">
            <v>0</v>
          </cell>
          <cell r="H123" t="str">
            <v>Equity</v>
          </cell>
          <cell r="I123" t="str">
            <v>Balance Sheet</v>
          </cell>
          <cell r="J123" t="str">
            <v>XAF</v>
          </cell>
          <cell r="K123" t="str">
            <v>Dettes de location acquisition</v>
          </cell>
        </row>
        <row r="124">
          <cell r="A124" t="str">
            <v>A123</v>
          </cell>
          <cell r="B124" t="str">
            <v>"173000 - Dettes de location acquisition / crédit bail mobilier - OHADA"</v>
          </cell>
          <cell r="C124" t="str">
            <v>Dettes de location acquisition / crédit bail mobilier</v>
          </cell>
          <cell r="D124" t="str">
            <v>OHADA</v>
          </cell>
          <cell r="E124" t="str">
            <v>170000 - Dettes de location acquisition - OHADA</v>
          </cell>
          <cell r="F124">
            <v>173000</v>
          </cell>
          <cell r="G124" t="str">
            <v>0</v>
          </cell>
          <cell r="H124" t="str">
            <v>Equity</v>
          </cell>
          <cell r="I124" t="str">
            <v>Balance Sheet</v>
          </cell>
          <cell r="J124" t="str">
            <v>XAF</v>
          </cell>
          <cell r="K124" t="str">
            <v>Dettes de location acquisition</v>
          </cell>
        </row>
        <row r="125">
          <cell r="A125" t="str">
            <v>A124</v>
          </cell>
          <cell r="B125" t="str">
            <v>"174000 - Dettes de location acquisition / location de vente - OHADA"</v>
          </cell>
          <cell r="C125" t="str">
            <v>Dettes de location acquisition / location de vente</v>
          </cell>
          <cell r="D125" t="str">
            <v>OHADA</v>
          </cell>
          <cell r="E125" t="str">
            <v>170000 - Dettes de location acquisition - OHADA</v>
          </cell>
          <cell r="F125">
            <v>174000</v>
          </cell>
          <cell r="G125" t="str">
            <v>0</v>
          </cell>
          <cell r="H125" t="str">
            <v>Equity</v>
          </cell>
          <cell r="I125" t="str">
            <v>Balance Sheet</v>
          </cell>
          <cell r="J125" t="str">
            <v>XAF</v>
          </cell>
          <cell r="K125" t="str">
            <v>Dettes de location acquisition</v>
          </cell>
        </row>
        <row r="126">
          <cell r="A126" t="str">
            <v>A125</v>
          </cell>
          <cell r="B126" t="str">
            <v>"176000 - Intérêts courus - OHADA"</v>
          </cell>
          <cell r="C126" t="str">
            <v>Intérêts courus</v>
          </cell>
          <cell r="D126" t="str">
            <v>OHADA</v>
          </cell>
          <cell r="E126" t="str">
            <v>170000 - Dettes de location acquisition - OHADA</v>
          </cell>
          <cell r="F126">
            <v>176000</v>
          </cell>
          <cell r="G126" t="str">
            <v>1</v>
          </cell>
          <cell r="H126" t="str">
            <v>Equity</v>
          </cell>
          <cell r="I126" t="str">
            <v>Balance Sheet</v>
          </cell>
          <cell r="J126" t="str">
            <v>XAF</v>
          </cell>
          <cell r="K126" t="str">
            <v>Dettes de location acquisition</v>
          </cell>
        </row>
        <row r="127">
          <cell r="A127" t="str">
            <v>A126</v>
          </cell>
          <cell r="B127" t="str">
            <v>"176200 - Sur dettes de location acquisition / crédit - bail immobilier - OHADA"</v>
          </cell>
          <cell r="C127" t="str">
            <v>Sur dettes de location acquisition / crédit-bail immobilier</v>
          </cell>
          <cell r="D127" t="str">
            <v>OHADA</v>
          </cell>
          <cell r="E127" t="str">
            <v>176000 - Intérêts courus - OHADA</v>
          </cell>
          <cell r="F127">
            <v>176200</v>
          </cell>
          <cell r="G127" t="str">
            <v>0</v>
          </cell>
          <cell r="H127" t="str">
            <v>Equity</v>
          </cell>
          <cell r="I127" t="str">
            <v>Balance Sheet</v>
          </cell>
          <cell r="J127" t="str">
            <v>XAF</v>
          </cell>
          <cell r="K127" t="str">
            <v>Dettes de location acquisition</v>
          </cell>
        </row>
        <row r="128">
          <cell r="A128" t="str">
            <v>A127</v>
          </cell>
          <cell r="B128" t="str">
            <v>"176300 - Sur dettes de location acquisition / crédit - bail mobilier - OHADA"</v>
          </cell>
          <cell r="C128" t="str">
            <v>Sur dettes de location acquisition / crédit-bail mobilier</v>
          </cell>
          <cell r="D128" t="str">
            <v>OHADA</v>
          </cell>
          <cell r="E128" t="str">
            <v>176000 - Intérêts courus - OHADA</v>
          </cell>
          <cell r="F128">
            <v>176300</v>
          </cell>
          <cell r="G128" t="str">
            <v>0</v>
          </cell>
          <cell r="H128" t="str">
            <v>Equity</v>
          </cell>
          <cell r="I128" t="str">
            <v>Balance Sheet</v>
          </cell>
          <cell r="J128" t="str">
            <v>XAF</v>
          </cell>
          <cell r="K128" t="str">
            <v>Dettes de location acquisition</v>
          </cell>
        </row>
        <row r="129">
          <cell r="A129" t="str">
            <v>A128</v>
          </cell>
          <cell r="B129" t="str">
            <v>"176400 - Sur dettes de location acquisition / location - vente - OHADA"</v>
          </cell>
          <cell r="C129" t="str">
            <v>Sur dettes de location acquisition / location-vente</v>
          </cell>
          <cell r="D129" t="str">
            <v>OHADA</v>
          </cell>
          <cell r="E129" t="str">
            <v>176000 - Intérêts courus - OHADA</v>
          </cell>
          <cell r="F129">
            <v>176400</v>
          </cell>
          <cell r="G129" t="str">
            <v>0</v>
          </cell>
          <cell r="H129" t="str">
            <v>Equity</v>
          </cell>
          <cell r="I129" t="str">
            <v>Balance Sheet</v>
          </cell>
          <cell r="J129" t="str">
            <v>XAF</v>
          </cell>
          <cell r="K129" t="str">
            <v>Dettes de location acquisition</v>
          </cell>
        </row>
        <row r="130">
          <cell r="A130" t="str">
            <v>A129</v>
          </cell>
          <cell r="B130" t="str">
            <v>"176800 - Sur autres dettes de location acquisition - OHADA"</v>
          </cell>
          <cell r="C130" t="str">
            <v>Sur autres dettes de location acquisition</v>
          </cell>
          <cell r="D130" t="str">
            <v>OHADA</v>
          </cell>
          <cell r="E130" t="str">
            <v>176000 - Intérêts courus - OHADA</v>
          </cell>
          <cell r="F130">
            <v>176800</v>
          </cell>
          <cell r="G130" t="str">
            <v>0</v>
          </cell>
          <cell r="H130" t="str">
            <v>Equity</v>
          </cell>
          <cell r="I130" t="str">
            <v>Balance Sheet</v>
          </cell>
          <cell r="J130" t="str">
            <v>XAF</v>
          </cell>
          <cell r="K130" t="str">
            <v>Dettes de location acquisition</v>
          </cell>
        </row>
        <row r="131">
          <cell r="A131" t="str">
            <v>A130</v>
          </cell>
          <cell r="B131" t="str">
            <v>"178000 - Autres dettes de location acquisition - OHADA"</v>
          </cell>
          <cell r="C131" t="str">
            <v>Autres dettes de location acquisition</v>
          </cell>
          <cell r="D131" t="str">
            <v>OHADA</v>
          </cell>
          <cell r="E131" t="str">
            <v>170000 - Dettes de location acquisition - OHADA</v>
          </cell>
          <cell r="F131">
            <v>178000</v>
          </cell>
          <cell r="G131" t="str">
            <v>0</v>
          </cell>
          <cell r="H131" t="str">
            <v>Equity</v>
          </cell>
          <cell r="I131" t="str">
            <v>Balance Sheet</v>
          </cell>
          <cell r="J131" t="str">
            <v>XAF</v>
          </cell>
          <cell r="K131" t="str">
            <v>Dettes de location acquisition</v>
          </cell>
        </row>
        <row r="132">
          <cell r="A132" t="str">
            <v>A131</v>
          </cell>
          <cell r="B132" t="str">
            <v>"180000 - Dettes liées à des participations et comptes de liaison des établissements et sociétés en participation - OHADA"</v>
          </cell>
          <cell r="C132" t="str">
            <v>Dettes liées à des participations et comptes de liaison des établissements et sociétés en participation</v>
          </cell>
          <cell r="D132" t="str">
            <v>OHADA</v>
          </cell>
          <cell r="E132" t="str">
            <v>1 - Comptes de ressources durables - OHADA</v>
          </cell>
          <cell r="F132">
            <v>180000</v>
          </cell>
          <cell r="G132" t="str">
            <v>1</v>
          </cell>
          <cell r="H132" t="str">
            <v>Equity</v>
          </cell>
          <cell r="I132" t="str">
            <v>Balance Sheet</v>
          </cell>
          <cell r="J132" t="str">
            <v>XAF</v>
          </cell>
          <cell r="K132" t="str">
            <v>Dettes de location acquisition</v>
          </cell>
        </row>
        <row r="133">
          <cell r="A133" t="str">
            <v>A132</v>
          </cell>
          <cell r="B133" t="str">
            <v>"181000 - Dettes liées à des participations - OHADA"</v>
          </cell>
          <cell r="C133" t="str">
            <v>Dettes liées à des participations</v>
          </cell>
          <cell r="D133" t="str">
            <v>OHADA</v>
          </cell>
          <cell r="E133" t="str">
            <v>180000 - Dettes liées à des participations et comptes de liaison des établissements et sociétés en participation - OHADA</v>
          </cell>
          <cell r="F133">
            <v>181000</v>
          </cell>
          <cell r="G133" t="str">
            <v>1</v>
          </cell>
          <cell r="H133" t="str">
            <v>Equity</v>
          </cell>
          <cell r="I133" t="str">
            <v>Balance Sheet</v>
          </cell>
          <cell r="J133" t="str">
            <v>XAF</v>
          </cell>
          <cell r="K133" t="str">
            <v>Dettes de location acquisition</v>
          </cell>
        </row>
        <row r="134">
          <cell r="A134" t="str">
            <v>A133</v>
          </cell>
          <cell r="B134" t="str">
            <v>"181100 - Dettes liées à des participations (groupe) - OHADA"</v>
          </cell>
          <cell r="C134" t="str">
            <v>Dettes liées à des participations (groupe)</v>
          </cell>
          <cell r="D134" t="str">
            <v>OHADA</v>
          </cell>
          <cell r="E134" t="str">
            <v>181000 - Dettes liées à des participations - OHADA</v>
          </cell>
          <cell r="F134">
            <v>181100</v>
          </cell>
          <cell r="G134" t="str">
            <v>0</v>
          </cell>
          <cell r="H134" t="str">
            <v>Equity</v>
          </cell>
          <cell r="I134" t="str">
            <v>Balance Sheet</v>
          </cell>
          <cell r="J134" t="str">
            <v>XAF</v>
          </cell>
          <cell r="K134" t="str">
            <v>Dettes de location acquisition</v>
          </cell>
        </row>
        <row r="135">
          <cell r="A135" t="str">
            <v>A134</v>
          </cell>
          <cell r="B135" t="str">
            <v>"181200 - Dettes liées à des participations (hors groupe) - OHADA"</v>
          </cell>
          <cell r="C135" t="str">
            <v>Dettes liées à des participations (hors groupe)</v>
          </cell>
          <cell r="D135" t="str">
            <v>OHADA</v>
          </cell>
          <cell r="E135" t="str">
            <v>181000 - Dettes liées à des participations - OHADA</v>
          </cell>
          <cell r="F135">
            <v>181200</v>
          </cell>
          <cell r="G135" t="str">
            <v>0</v>
          </cell>
          <cell r="H135" t="str">
            <v>Equity</v>
          </cell>
          <cell r="I135" t="str">
            <v>Balance Sheet</v>
          </cell>
          <cell r="J135" t="str">
            <v>XAF</v>
          </cell>
          <cell r="K135" t="str">
            <v>Dettes de location acquisition</v>
          </cell>
        </row>
        <row r="136">
          <cell r="A136" t="str">
            <v>A135</v>
          </cell>
          <cell r="B136" t="str">
            <v>"182000 - Dettes liées à des sociétés en participation - OHADA"</v>
          </cell>
          <cell r="C136" t="str">
            <v>Dettes liées à des sociétés en participation</v>
          </cell>
          <cell r="D136" t="str">
            <v>OHADA</v>
          </cell>
          <cell r="E136" t="str">
            <v>180000 - Dettes liées à des participations et comptes de liaison des établissements et sociétés en participation - OHADA</v>
          </cell>
          <cell r="F136">
            <v>182000</v>
          </cell>
          <cell r="G136" t="str">
            <v>0</v>
          </cell>
          <cell r="H136" t="str">
            <v>Equity</v>
          </cell>
          <cell r="I136" t="str">
            <v>Balance Sheet</v>
          </cell>
          <cell r="J136" t="str">
            <v>XAF</v>
          </cell>
          <cell r="K136" t="str">
            <v>Dettes de location acquisition</v>
          </cell>
        </row>
        <row r="137">
          <cell r="A137" t="str">
            <v>A136</v>
          </cell>
          <cell r="B137" t="str">
            <v>"183000 - Intérêts courus sur dettes liées à des participations - OHADA"</v>
          </cell>
          <cell r="C137" t="str">
            <v>Intérêts courus sur dettes liées à des participations</v>
          </cell>
          <cell r="D137" t="str">
            <v>OHADA</v>
          </cell>
          <cell r="E137" t="str">
            <v>180000 - Dettes liées à des participations et comptes de liaison des établissements et sociétés en participation - OHADA</v>
          </cell>
          <cell r="F137">
            <v>183000</v>
          </cell>
          <cell r="G137" t="str">
            <v>0</v>
          </cell>
          <cell r="H137" t="str">
            <v>Equity</v>
          </cell>
          <cell r="I137" t="str">
            <v>Balance Sheet</v>
          </cell>
          <cell r="J137" t="str">
            <v>XAF</v>
          </cell>
          <cell r="K137" t="str">
            <v>Dettes de location acquisition</v>
          </cell>
        </row>
        <row r="138">
          <cell r="A138" t="str">
            <v>A137</v>
          </cell>
          <cell r="B138" t="str">
            <v>"184000 - Comptes permanents bloqués des établissements et succursales - OHADA"</v>
          </cell>
          <cell r="C138" t="str">
            <v>Comptes permanents bloqués des établissements et succursales</v>
          </cell>
          <cell r="D138" t="str">
            <v>OHADA</v>
          </cell>
          <cell r="E138" t="str">
            <v>180000 - Dettes liées à des participations et comptes de liaison des établissements et sociétés en participation - OHADA</v>
          </cell>
          <cell r="F138">
            <v>184000</v>
          </cell>
          <cell r="G138" t="str">
            <v>0</v>
          </cell>
          <cell r="H138" t="str">
            <v>Equity</v>
          </cell>
          <cell r="I138" t="str">
            <v>Balance Sheet</v>
          </cell>
          <cell r="J138" t="str">
            <v>XAF</v>
          </cell>
          <cell r="K138" t="str">
            <v>Dettes de location acquisition</v>
          </cell>
        </row>
        <row r="139">
          <cell r="A139" t="str">
            <v>A138</v>
          </cell>
          <cell r="B139" t="str">
            <v>"185000 - Comptes permanents non bloqués des établissements et succursales - OHADA"</v>
          </cell>
          <cell r="C139" t="str">
            <v>Comptes permanents non bloqués des établissements et succursales</v>
          </cell>
          <cell r="D139" t="str">
            <v>OHADA</v>
          </cell>
          <cell r="E139" t="str">
            <v>180000 - Dettes liées à des participations et comptes de liaison des établissements et sociétés en participation - OHADA</v>
          </cell>
          <cell r="F139">
            <v>185000</v>
          </cell>
          <cell r="G139" t="str">
            <v>0</v>
          </cell>
          <cell r="H139" t="str">
            <v>Equity</v>
          </cell>
          <cell r="I139" t="str">
            <v>Balance Sheet</v>
          </cell>
          <cell r="J139" t="str">
            <v>XAF</v>
          </cell>
          <cell r="K139" t="str">
            <v>Dettes de location acquisition</v>
          </cell>
        </row>
        <row r="140">
          <cell r="A140" t="str">
            <v>A139</v>
          </cell>
          <cell r="B140" t="str">
            <v>"186000 - Comptes de liaison charges - OHADA"</v>
          </cell>
          <cell r="C140" t="str">
            <v>Comptes de liaison charges</v>
          </cell>
          <cell r="D140" t="str">
            <v>OHADA</v>
          </cell>
          <cell r="E140" t="str">
            <v>180000 - Dettes liées à des participations et comptes de liaison des établissements et sociétés en participation - OHADA</v>
          </cell>
          <cell r="F140">
            <v>186000</v>
          </cell>
          <cell r="G140" t="str">
            <v>0</v>
          </cell>
          <cell r="H140" t="str">
            <v>Equity</v>
          </cell>
          <cell r="I140" t="str">
            <v>Balance Sheet</v>
          </cell>
          <cell r="J140" t="str">
            <v>XAF</v>
          </cell>
          <cell r="K140" t="str">
            <v>Dettes de location acquisition</v>
          </cell>
        </row>
        <row r="141">
          <cell r="A141" t="str">
            <v>A140</v>
          </cell>
          <cell r="B141" t="str">
            <v>"187000 - Comptes de liaison produits - OHADA"</v>
          </cell>
          <cell r="C141" t="str">
            <v>Comptes de liaison produits</v>
          </cell>
          <cell r="D141" t="str">
            <v>OHADA</v>
          </cell>
          <cell r="E141" t="str">
            <v>180000 - Dettes liées à des participations et comptes de liaison des établissements et sociétés en participation - OHADA</v>
          </cell>
          <cell r="F141">
            <v>187000</v>
          </cell>
          <cell r="G141" t="str">
            <v>0</v>
          </cell>
          <cell r="H141" t="str">
            <v>Equity</v>
          </cell>
          <cell r="I141" t="str">
            <v>Balance Sheet</v>
          </cell>
          <cell r="J141" t="str">
            <v>XAF</v>
          </cell>
          <cell r="K141" t="str">
            <v>Dettes de location acquisition</v>
          </cell>
        </row>
        <row r="142">
          <cell r="A142" t="str">
            <v>A141</v>
          </cell>
          <cell r="B142" t="str">
            <v>"188000 - Comptes de liaison des sociétés en participation - OHADA"</v>
          </cell>
          <cell r="C142" t="str">
            <v>Comptes de liaison des sociétés en participation</v>
          </cell>
          <cell r="D142" t="str">
            <v>OHADA</v>
          </cell>
          <cell r="E142" t="str">
            <v>180000 - Dettes liées à des participations et comptes de liaison des établissements et sociétés en participation - OHADA</v>
          </cell>
          <cell r="F142">
            <v>188000</v>
          </cell>
          <cell r="G142" t="str">
            <v>0</v>
          </cell>
          <cell r="H142" t="str">
            <v>Equity</v>
          </cell>
          <cell r="I142" t="str">
            <v>Balance Sheet</v>
          </cell>
          <cell r="J142" t="str">
            <v>XAF</v>
          </cell>
          <cell r="K142" t="str">
            <v>Dettes de location acquisition</v>
          </cell>
        </row>
        <row r="143">
          <cell r="A143" t="str">
            <v>A142</v>
          </cell>
          <cell r="B143" t="str">
            <v>"190000 - Provisions pour risques et charges - OHADA"</v>
          </cell>
          <cell r="C143" t="str">
            <v>Provisions pour risques et charges</v>
          </cell>
          <cell r="D143" t="str">
            <v>OHADA</v>
          </cell>
          <cell r="E143" t="str">
            <v>1 - Comptes de ressources durables - OHADA</v>
          </cell>
          <cell r="F143">
            <v>190000</v>
          </cell>
          <cell r="G143" t="str">
            <v>1</v>
          </cell>
          <cell r="H143" t="str">
            <v>Equity</v>
          </cell>
          <cell r="I143" t="str">
            <v>Balance Sheet</v>
          </cell>
          <cell r="J143" t="str">
            <v>XAF</v>
          </cell>
          <cell r="K143" t="str">
            <v>Provisions pour risques et charges LT</v>
          </cell>
        </row>
        <row r="144">
          <cell r="A144" t="str">
            <v>A143</v>
          </cell>
          <cell r="B144" t="str">
            <v>"191000 - Provisions pour litiges - OHADA"</v>
          </cell>
          <cell r="C144" t="str">
            <v>Provisions pour litiges</v>
          </cell>
          <cell r="D144" t="str">
            <v>OHADA</v>
          </cell>
          <cell r="E144" t="str">
            <v>190000 - Provisions pour risques et charges - OHADA</v>
          </cell>
          <cell r="F144">
            <v>191000</v>
          </cell>
          <cell r="G144" t="str">
            <v>0</v>
          </cell>
          <cell r="H144" t="str">
            <v>Equity</v>
          </cell>
          <cell r="I144" t="str">
            <v>Balance Sheet</v>
          </cell>
          <cell r="J144" t="str">
            <v>XAF</v>
          </cell>
          <cell r="K144" t="str">
            <v>Provisions pour risques et charges LT</v>
          </cell>
        </row>
        <row r="145">
          <cell r="A145" t="str">
            <v>A144</v>
          </cell>
          <cell r="B145" t="str">
            <v>"192000 - Provisions pour garanties données aux clients - OHADA"</v>
          </cell>
          <cell r="C145" t="str">
            <v>Provisions pour garanties données aux clients</v>
          </cell>
          <cell r="D145" t="str">
            <v>OHADA</v>
          </cell>
          <cell r="E145" t="str">
            <v>190000 - Provisions pour risques et charges - OHADA</v>
          </cell>
          <cell r="F145">
            <v>192000</v>
          </cell>
          <cell r="G145" t="str">
            <v>0</v>
          </cell>
          <cell r="H145" t="str">
            <v>Equity</v>
          </cell>
          <cell r="I145" t="str">
            <v>Balance Sheet</v>
          </cell>
          <cell r="J145" t="str">
            <v>XAF</v>
          </cell>
          <cell r="K145" t="str">
            <v>Provisions pour risques et charges LT</v>
          </cell>
        </row>
        <row r="146">
          <cell r="A146" t="str">
            <v>A145</v>
          </cell>
          <cell r="B146" t="str">
            <v>"193000 - Provisions pour pertes sur marchés à achèvement futur - OHADA"</v>
          </cell>
          <cell r="C146" t="str">
            <v>Provisions pour pertes sur marchés à achèvement futur</v>
          </cell>
          <cell r="D146" t="str">
            <v>OHADA</v>
          </cell>
          <cell r="E146" t="str">
            <v>190000 - Provisions pour risques et charges - OHADA</v>
          </cell>
          <cell r="F146">
            <v>193000</v>
          </cell>
          <cell r="G146" t="str">
            <v>0</v>
          </cell>
          <cell r="H146" t="str">
            <v>Equity</v>
          </cell>
          <cell r="I146" t="str">
            <v>Balance Sheet</v>
          </cell>
          <cell r="J146" t="str">
            <v>XAF</v>
          </cell>
          <cell r="K146" t="str">
            <v>Provisions pour risques et charges LT</v>
          </cell>
        </row>
        <row r="147">
          <cell r="A147" t="str">
            <v>A146</v>
          </cell>
          <cell r="B147" t="str">
            <v>"194000 - Provisions pour pertes de change - OHADA"</v>
          </cell>
          <cell r="C147" t="str">
            <v>Provisions pour pertes de change</v>
          </cell>
          <cell r="D147" t="str">
            <v>OHADA</v>
          </cell>
          <cell r="E147" t="str">
            <v>190000 - Provisions pour risques et charges - OHADA</v>
          </cell>
          <cell r="F147">
            <v>194000</v>
          </cell>
          <cell r="G147" t="str">
            <v>0</v>
          </cell>
          <cell r="H147" t="str">
            <v>Equity</v>
          </cell>
          <cell r="I147" t="str">
            <v>Balance Sheet</v>
          </cell>
          <cell r="J147" t="str">
            <v>XAF</v>
          </cell>
          <cell r="K147" t="str">
            <v>Provisions pour risques et charges LT</v>
          </cell>
        </row>
        <row r="148">
          <cell r="A148" t="str">
            <v>A147</v>
          </cell>
          <cell r="B148" t="str">
            <v>"195000 - Provisions pour impôts - OHADA"</v>
          </cell>
          <cell r="C148" t="str">
            <v>Provisions pour impôts</v>
          </cell>
          <cell r="D148" t="str">
            <v>OHADA</v>
          </cell>
          <cell r="E148" t="str">
            <v>190000 - Provisions pour risques et charges - OHADA</v>
          </cell>
          <cell r="F148">
            <v>195000</v>
          </cell>
          <cell r="G148" t="str">
            <v>0</v>
          </cell>
          <cell r="H148" t="str">
            <v>Equity</v>
          </cell>
          <cell r="I148" t="str">
            <v>Balance Sheet</v>
          </cell>
          <cell r="J148" t="str">
            <v>XAF</v>
          </cell>
          <cell r="K148" t="str">
            <v>Provisions pour risques et charges LT</v>
          </cell>
        </row>
        <row r="149">
          <cell r="A149" t="str">
            <v>A148</v>
          </cell>
          <cell r="B149" t="str">
            <v>"196000 - Provisions pour pensions et obligations similaires - OHADA"</v>
          </cell>
          <cell r="C149" t="str">
            <v>Provisions pour pensions et obligations similaires</v>
          </cell>
          <cell r="D149" t="str">
            <v>OHADA</v>
          </cell>
          <cell r="E149" t="str">
            <v>190000 - Provisions pour risques et charges - OHADA</v>
          </cell>
          <cell r="F149">
            <v>196000</v>
          </cell>
          <cell r="G149" t="str">
            <v>1</v>
          </cell>
          <cell r="H149" t="str">
            <v>Equity</v>
          </cell>
          <cell r="I149" t="str">
            <v>Balance Sheet</v>
          </cell>
          <cell r="J149" t="str">
            <v>XAF</v>
          </cell>
          <cell r="K149" t="str">
            <v>Provisions pour risques et charges LT</v>
          </cell>
        </row>
        <row r="150">
          <cell r="A150" t="str">
            <v>A149</v>
          </cell>
          <cell r="B150" t="str">
            <v>"196100 - Provisions pour pensions et obligations similaires engagement de retraite - OHADA"</v>
          </cell>
          <cell r="C150" t="str">
            <v>Provisions pour pensions et obligations similaires engagement de retraite</v>
          </cell>
          <cell r="D150" t="str">
            <v>OHADA</v>
          </cell>
          <cell r="E150" t="str">
            <v>196000 - Provisions pour pensions et obligations similaires - OHADA</v>
          </cell>
          <cell r="F150">
            <v>196100</v>
          </cell>
          <cell r="G150" t="str">
            <v>0</v>
          </cell>
          <cell r="H150" t="str">
            <v>Equity</v>
          </cell>
          <cell r="I150" t="str">
            <v>Balance Sheet</v>
          </cell>
          <cell r="J150" t="str">
            <v>XAF</v>
          </cell>
          <cell r="K150" t="str">
            <v>Provisions pour risques et charges LT</v>
          </cell>
        </row>
        <row r="151">
          <cell r="A151" t="str">
            <v>A150</v>
          </cell>
          <cell r="B151" t="str">
            <v>"196200 - Actif du régime de retraite - OHADA"</v>
          </cell>
          <cell r="C151" t="str">
            <v>Actif du régime de retraite</v>
          </cell>
          <cell r="D151" t="str">
            <v>OHADA</v>
          </cell>
          <cell r="E151" t="str">
            <v>196000 - Provisions pour pensions et obligations similaires - OHADA</v>
          </cell>
          <cell r="F151">
            <v>196200</v>
          </cell>
          <cell r="G151" t="str">
            <v>0</v>
          </cell>
          <cell r="H151" t="str">
            <v>Equity</v>
          </cell>
          <cell r="I151" t="str">
            <v>Balance Sheet</v>
          </cell>
          <cell r="J151" t="str">
            <v>XAF</v>
          </cell>
          <cell r="K151" t="str">
            <v>Provisions pour risques et charges LT</v>
          </cell>
        </row>
        <row r="152">
          <cell r="A152" t="str">
            <v>A151</v>
          </cell>
          <cell r="B152" t="str">
            <v>"197000 - Provisions pour restructuration - OHADA"</v>
          </cell>
          <cell r="C152" t="str">
            <v>Provisions pour restructuration</v>
          </cell>
          <cell r="D152" t="str">
            <v>OHADA</v>
          </cell>
          <cell r="E152" t="str">
            <v>190000 - Provisions pour risques et charges - OHADA</v>
          </cell>
          <cell r="F152">
            <v>197000</v>
          </cell>
          <cell r="G152" t="str">
            <v>0</v>
          </cell>
          <cell r="H152" t="str">
            <v>Equity</v>
          </cell>
          <cell r="I152" t="str">
            <v>Balance Sheet</v>
          </cell>
          <cell r="J152" t="str">
            <v>XAF</v>
          </cell>
          <cell r="K152" t="str">
            <v>Provisions pour risques et charges LT</v>
          </cell>
        </row>
        <row r="153">
          <cell r="A153" t="str">
            <v>A152</v>
          </cell>
          <cell r="B153" t="str">
            <v>"198000 - Autres provisions pour risques et charges - OHADA"</v>
          </cell>
          <cell r="C153" t="str">
            <v>Autres provisions pour risques et charges</v>
          </cell>
          <cell r="D153" t="str">
            <v>OHADA</v>
          </cell>
          <cell r="E153" t="str">
            <v>190000 - Provisions pour risques et charges - OHADA</v>
          </cell>
          <cell r="F153">
            <v>198000</v>
          </cell>
          <cell r="G153" t="str">
            <v>1</v>
          </cell>
          <cell r="H153" t="str">
            <v>Equity</v>
          </cell>
          <cell r="I153" t="str">
            <v>Balance Sheet</v>
          </cell>
          <cell r="J153" t="str">
            <v>XAF</v>
          </cell>
          <cell r="K153" t="str">
            <v>Provisions pour risques et charges LT</v>
          </cell>
        </row>
        <row r="154">
          <cell r="A154" t="str">
            <v>A153</v>
          </cell>
          <cell r="B154" t="str">
            <v>"198100 - Provisions pour amendes et pénalités - OHADA"</v>
          </cell>
          <cell r="C154" t="str">
            <v>Provisions pour amendes et pénalités</v>
          </cell>
          <cell r="D154" t="str">
            <v>OHADA</v>
          </cell>
          <cell r="E154" t="str">
            <v>198000 - Autres provisions pour risques et charges - OHADA</v>
          </cell>
          <cell r="F154">
            <v>198100</v>
          </cell>
          <cell r="G154" t="str">
            <v>0</v>
          </cell>
          <cell r="H154" t="str">
            <v>Equity</v>
          </cell>
          <cell r="I154" t="str">
            <v>Balance Sheet</v>
          </cell>
          <cell r="J154" t="str">
            <v>XAF</v>
          </cell>
          <cell r="K154" t="str">
            <v>Provisions pour risques et charges LT</v>
          </cell>
        </row>
        <row r="155">
          <cell r="A155" t="str">
            <v>A154</v>
          </cell>
          <cell r="B155" t="str">
            <v>"198300 - Provisions pour propre assureur - OHADA"</v>
          </cell>
          <cell r="C155" t="str">
            <v>Provisions pour propre assureur</v>
          </cell>
          <cell r="D155" t="str">
            <v>OHADA</v>
          </cell>
          <cell r="E155" t="str">
            <v>198000 - Autres provisions pour risques et charges - OHADA</v>
          </cell>
          <cell r="F155">
            <v>198300</v>
          </cell>
          <cell r="G155" t="str">
            <v>0</v>
          </cell>
          <cell r="H155" t="str">
            <v>Equity</v>
          </cell>
          <cell r="I155" t="str">
            <v>Balance Sheet</v>
          </cell>
          <cell r="J155" t="str">
            <v>XAF</v>
          </cell>
          <cell r="K155" t="str">
            <v>Provisions pour risques et charges LT</v>
          </cell>
        </row>
        <row r="156">
          <cell r="A156" t="str">
            <v>A155</v>
          </cell>
          <cell r="B156" t="str">
            <v>"198400 - Provisions pour démantèlement et remise en état - OHADA"</v>
          </cell>
          <cell r="C156" t="str">
            <v>Provisions pour démantèlement et remise en état</v>
          </cell>
          <cell r="D156" t="str">
            <v>OHADA</v>
          </cell>
          <cell r="E156" t="str">
            <v>198000 - Autres provisions pour risques et charges - OHADA</v>
          </cell>
          <cell r="F156">
            <v>198400</v>
          </cell>
          <cell r="G156" t="str">
            <v>0</v>
          </cell>
          <cell r="H156" t="str">
            <v>Equity</v>
          </cell>
          <cell r="I156" t="str">
            <v>Balance Sheet</v>
          </cell>
          <cell r="J156" t="str">
            <v>XAF</v>
          </cell>
          <cell r="K156" t="str">
            <v>Provisions pour risques et charges LT</v>
          </cell>
        </row>
        <row r="157">
          <cell r="A157" t="str">
            <v>A156</v>
          </cell>
          <cell r="B157" t="str">
            <v>"198500 - Provisions pour droits à réduction ou avantage en nature (chèques cadeau, cartes de fidélité...) - OHADA"</v>
          </cell>
          <cell r="C157" t="str">
            <v>Provisions pour droits à réduction ou avantage en nature (chèques cadeau, cartes de fidélité...)</v>
          </cell>
          <cell r="D157" t="str">
            <v>OHADA</v>
          </cell>
          <cell r="E157" t="str">
            <v>198000 - Autres provisions pour risques et charges - OHADA</v>
          </cell>
          <cell r="F157">
            <v>198500</v>
          </cell>
          <cell r="G157" t="str">
            <v>0</v>
          </cell>
          <cell r="H157" t="str">
            <v>Equity</v>
          </cell>
          <cell r="I157" t="str">
            <v>Balance Sheet</v>
          </cell>
          <cell r="J157" t="str">
            <v>XAF</v>
          </cell>
          <cell r="K157" t="str">
            <v>Provisions pour risques et charges LT</v>
          </cell>
        </row>
        <row r="158">
          <cell r="A158" t="str">
            <v>A157</v>
          </cell>
          <cell r="B158" t="str">
            <v>"198800 - Provisions pour divers risques et charges - OHADA"</v>
          </cell>
          <cell r="C158" t="str">
            <v>Provisions pour divers risques et charges</v>
          </cell>
          <cell r="D158" t="str">
            <v>OHADA</v>
          </cell>
          <cell r="E158" t="str">
            <v>198000 - Autres provisions pour risques et charges - OHADA</v>
          </cell>
          <cell r="F158">
            <v>198800</v>
          </cell>
          <cell r="G158" t="str">
            <v>0</v>
          </cell>
          <cell r="H158" t="str">
            <v>Equity</v>
          </cell>
          <cell r="I158" t="str">
            <v>Balance Sheet</v>
          </cell>
          <cell r="J158" t="str">
            <v>XAF</v>
          </cell>
          <cell r="K158" t="str">
            <v>Provisions pour risques et charges LT</v>
          </cell>
        </row>
        <row r="159">
          <cell r="A159" t="str">
            <v>A158</v>
          </cell>
          <cell r="B159" t="str">
            <v>2 -  Comptes d’actif immobilisé  -  OHADA</v>
          </cell>
          <cell r="C159" t="str">
            <v>Comptes d’actif immobilisé</v>
          </cell>
          <cell r="D159" t="str">
            <v>OHADA</v>
          </cell>
          <cell r="F159">
            <v>200000</v>
          </cell>
          <cell r="G159" t="str">
            <v>1</v>
          </cell>
          <cell r="H159" t="str">
            <v>Asset</v>
          </cell>
          <cell r="I159" t="str">
            <v>Balance Sheet</v>
          </cell>
          <cell r="J159" t="str">
            <v>XAF</v>
          </cell>
        </row>
        <row r="160">
          <cell r="A160" t="str">
            <v>A159</v>
          </cell>
          <cell r="B160" t="str">
            <v>"210000 - Immobilisations incorporelles - OHADA"</v>
          </cell>
          <cell r="C160" t="str">
            <v>Immobilisations incorporelles</v>
          </cell>
          <cell r="D160" t="str">
            <v>OHADA</v>
          </cell>
          <cell r="E160" t="str">
            <v>2 - Comptes d’actif immobilisé - OHADA</v>
          </cell>
          <cell r="F160">
            <v>210000</v>
          </cell>
          <cell r="G160" t="str">
            <v>1</v>
          </cell>
          <cell r="H160" t="str">
            <v>Asset</v>
          </cell>
          <cell r="I160" t="str">
            <v>Balance Sheet</v>
          </cell>
          <cell r="J160" t="str">
            <v>XAF</v>
          </cell>
          <cell r="K160" t="str">
            <v>Immobilisations incorporelles</v>
          </cell>
        </row>
        <row r="161">
          <cell r="A161" t="str">
            <v>A160</v>
          </cell>
          <cell r="B161" t="str">
            <v>"211000 - Frais de développement - OHADA"</v>
          </cell>
          <cell r="C161" t="str">
            <v>Frais de développement</v>
          </cell>
          <cell r="D161" t="str">
            <v>OHADA</v>
          </cell>
          <cell r="E161" t="str">
            <v>210000 - Immobilisations incorporelles - OHADA</v>
          </cell>
          <cell r="F161">
            <v>211000</v>
          </cell>
          <cell r="G161" t="str">
            <v>0</v>
          </cell>
          <cell r="H161" t="str">
            <v>Asset</v>
          </cell>
          <cell r="I161" t="str">
            <v>Balance Sheet</v>
          </cell>
          <cell r="J161" t="str">
            <v>XAF</v>
          </cell>
          <cell r="K161" t="str">
            <v>Frais de recherche et de prospection</v>
          </cell>
        </row>
        <row r="162">
          <cell r="A162" t="str">
            <v>A161</v>
          </cell>
          <cell r="B162" t="str">
            <v>"212000 - Brevets, licences, concessions et droits similaires - OHADA"</v>
          </cell>
          <cell r="C162" t="str">
            <v>Brevets, licences, concessions et droits similaires</v>
          </cell>
          <cell r="D162" t="str">
            <v>OHADA</v>
          </cell>
          <cell r="E162" t="str">
            <v>210000 - Immobilisations incorporelles - OHADA</v>
          </cell>
          <cell r="F162">
            <v>212000</v>
          </cell>
          <cell r="G162" t="str">
            <v>1</v>
          </cell>
          <cell r="H162" t="str">
            <v>Asset</v>
          </cell>
          <cell r="I162" t="str">
            <v>Balance Sheet</v>
          </cell>
          <cell r="J162" t="str">
            <v>XAF</v>
          </cell>
          <cell r="K162" t="str">
            <v>Brevet, licences, logiciels et droits similaires</v>
          </cell>
        </row>
        <row r="163">
          <cell r="A163" t="str">
            <v>A162</v>
          </cell>
          <cell r="B163" t="str">
            <v>"212100 - Brevets - OHADA"</v>
          </cell>
          <cell r="C163" t="str">
            <v>Brevets</v>
          </cell>
          <cell r="D163" t="str">
            <v>OHADA</v>
          </cell>
          <cell r="E163" t="str">
            <v>212000 - Brevets, licences, concessions et droits similaires - OHADA</v>
          </cell>
          <cell r="F163">
            <v>212100</v>
          </cell>
          <cell r="G163" t="str">
            <v>0</v>
          </cell>
          <cell r="H163" t="str">
            <v>Asset</v>
          </cell>
          <cell r="I163" t="str">
            <v>Balance Sheet</v>
          </cell>
          <cell r="J163" t="str">
            <v>XAF</v>
          </cell>
          <cell r="K163" t="str">
            <v>Brevet, licences, logiciels et droits similaires</v>
          </cell>
        </row>
        <row r="164">
          <cell r="A164" t="str">
            <v>A163</v>
          </cell>
          <cell r="B164" t="str">
            <v>"212200 - Licences - OHADA"</v>
          </cell>
          <cell r="C164" t="str">
            <v>Licences</v>
          </cell>
          <cell r="D164" t="str">
            <v>OHADA</v>
          </cell>
          <cell r="E164" t="str">
            <v>212000 - Brevets, licences, concessions et droits similaires - OHADA</v>
          </cell>
          <cell r="F164">
            <v>212200</v>
          </cell>
          <cell r="G164" t="str">
            <v>0</v>
          </cell>
          <cell r="H164" t="str">
            <v>Asset</v>
          </cell>
          <cell r="I164" t="str">
            <v>Balance Sheet</v>
          </cell>
          <cell r="J164" t="str">
            <v>XAF</v>
          </cell>
          <cell r="K164" t="str">
            <v>Brevet, licences, logiciels et droits similaires</v>
          </cell>
        </row>
        <row r="165">
          <cell r="A165" t="str">
            <v>A164</v>
          </cell>
          <cell r="B165" t="str">
            <v>"212300 - Concessions de service public - OHADA"</v>
          </cell>
          <cell r="C165" t="str">
            <v>Concessions de service public</v>
          </cell>
          <cell r="D165" t="str">
            <v>OHADA</v>
          </cell>
          <cell r="E165" t="str">
            <v>212000 - Brevets, licences, concessions et droits similaires - OHADA</v>
          </cell>
          <cell r="F165">
            <v>212300</v>
          </cell>
          <cell r="G165" t="str">
            <v>0</v>
          </cell>
          <cell r="H165" t="str">
            <v>Asset</v>
          </cell>
          <cell r="I165" t="str">
            <v>Balance Sheet</v>
          </cell>
          <cell r="J165" t="str">
            <v>XAF</v>
          </cell>
          <cell r="K165" t="str">
            <v>Brevet, licences, logiciels et droits similaires</v>
          </cell>
        </row>
        <row r="166">
          <cell r="A166" t="str">
            <v>A165</v>
          </cell>
          <cell r="B166" t="str">
            <v>"212800 - Autres concessions et droits similaires - OHADA"</v>
          </cell>
          <cell r="C166" t="str">
            <v>Autres concessions et droits similaires</v>
          </cell>
          <cell r="D166" t="str">
            <v>OHADA</v>
          </cell>
          <cell r="E166" t="str">
            <v>212000 - Brevets, licences, concessions et droits similaires - OHADA</v>
          </cell>
          <cell r="F166">
            <v>212800</v>
          </cell>
          <cell r="G166" t="str">
            <v>0</v>
          </cell>
          <cell r="H166" t="str">
            <v>Asset</v>
          </cell>
          <cell r="I166" t="str">
            <v>Balance Sheet</v>
          </cell>
          <cell r="J166" t="str">
            <v>XAF</v>
          </cell>
          <cell r="K166" t="str">
            <v>Brevet, licences, logiciels et droits similaires</v>
          </cell>
        </row>
        <row r="167">
          <cell r="A167" t="str">
            <v>A166</v>
          </cell>
          <cell r="B167" t="str">
            <v>"213000 - Logiciels et sites internet - OHADA"</v>
          </cell>
          <cell r="C167" t="str">
            <v>Logiciels et sites internet</v>
          </cell>
          <cell r="D167" t="str">
            <v>OHADA</v>
          </cell>
          <cell r="E167" t="str">
            <v>210000 - Immobilisations incorporelles - OHADA</v>
          </cell>
          <cell r="F167">
            <v>213000</v>
          </cell>
          <cell r="G167" t="str">
            <v>1</v>
          </cell>
          <cell r="H167" t="str">
            <v>Asset</v>
          </cell>
          <cell r="I167" t="str">
            <v>Balance Sheet</v>
          </cell>
          <cell r="J167" t="str">
            <v>XAF</v>
          </cell>
          <cell r="K167" t="str">
            <v>Brevet, licences, logiciels et droits similaires</v>
          </cell>
        </row>
        <row r="168">
          <cell r="A168" t="str">
            <v>A167</v>
          </cell>
          <cell r="B168" t="str">
            <v>"213100 - Logiciels - OHADA"</v>
          </cell>
          <cell r="C168" t="str">
            <v>Logiciels</v>
          </cell>
          <cell r="D168" t="str">
            <v>OHADA</v>
          </cell>
          <cell r="E168" t="str">
            <v>213000 - Logiciels et sites internet - OHADA</v>
          </cell>
          <cell r="F168">
            <v>213100</v>
          </cell>
          <cell r="G168" t="str">
            <v>0</v>
          </cell>
          <cell r="H168" t="str">
            <v>Asset</v>
          </cell>
          <cell r="I168" t="str">
            <v>Balance Sheet</v>
          </cell>
          <cell r="J168" t="str">
            <v>XAF</v>
          </cell>
          <cell r="K168" t="str">
            <v>Brevet, licences, logiciels et droits similaires</v>
          </cell>
        </row>
        <row r="169">
          <cell r="A169" t="str">
            <v>A168</v>
          </cell>
          <cell r="B169" t="str">
            <v>"213200 - Sites internet - OHADA"</v>
          </cell>
          <cell r="C169" t="str">
            <v>Sites internet</v>
          </cell>
          <cell r="D169" t="str">
            <v>OHADA</v>
          </cell>
          <cell r="E169" t="str">
            <v>213000 - Logiciels et sites internet - OHADA</v>
          </cell>
          <cell r="F169">
            <v>213200</v>
          </cell>
          <cell r="G169" t="str">
            <v>0</v>
          </cell>
          <cell r="H169" t="str">
            <v>Asset</v>
          </cell>
          <cell r="I169" t="str">
            <v>Balance Sheet</v>
          </cell>
          <cell r="J169" t="str">
            <v>XAF</v>
          </cell>
          <cell r="K169" t="str">
            <v>Brevet, licences, logiciels et droits similaires</v>
          </cell>
        </row>
        <row r="170">
          <cell r="A170" t="str">
            <v>A169</v>
          </cell>
          <cell r="B170" t="str">
            <v>"214000 - Marques - OHADA"</v>
          </cell>
          <cell r="C170" t="str">
            <v>Marques</v>
          </cell>
          <cell r="D170" t="str">
            <v>OHADA</v>
          </cell>
          <cell r="E170" t="str">
            <v>210000 - Immobilisations incorporelles - OHADA</v>
          </cell>
          <cell r="F170">
            <v>214000</v>
          </cell>
          <cell r="G170" t="str">
            <v>0</v>
          </cell>
          <cell r="H170" t="str">
            <v>Asset</v>
          </cell>
          <cell r="I170" t="str">
            <v>Balance Sheet</v>
          </cell>
          <cell r="J170" t="str">
            <v>XAF</v>
          </cell>
          <cell r="K170" t="str">
            <v>Brevet, licences, logiciels et droits similaires</v>
          </cell>
        </row>
        <row r="171">
          <cell r="A171" t="str">
            <v>A170</v>
          </cell>
          <cell r="B171" t="str">
            <v>"215000 - Fonds commercial - OHADA"</v>
          </cell>
          <cell r="C171" t="str">
            <v>Fonds commercial</v>
          </cell>
          <cell r="D171" t="str">
            <v>OHADA</v>
          </cell>
          <cell r="E171" t="str">
            <v>210000 - Immobilisations incorporelles - OHADA</v>
          </cell>
          <cell r="F171">
            <v>215000</v>
          </cell>
          <cell r="G171" t="str">
            <v>0</v>
          </cell>
          <cell r="H171" t="str">
            <v>Asset</v>
          </cell>
          <cell r="I171" t="str">
            <v>Balance Sheet</v>
          </cell>
          <cell r="J171" t="str">
            <v>XAF</v>
          </cell>
          <cell r="K171" t="str">
            <v>Fonds commercial et droit au bail</v>
          </cell>
        </row>
        <row r="172">
          <cell r="A172" t="str">
            <v>A171</v>
          </cell>
          <cell r="B172" t="str">
            <v>"216000 - Droit au bail - OHADA"</v>
          </cell>
          <cell r="C172" t="str">
            <v>Droit au bail</v>
          </cell>
          <cell r="D172" t="str">
            <v>OHADA</v>
          </cell>
          <cell r="E172" t="str">
            <v>210000 - Immobilisations incorporelles - OHADA</v>
          </cell>
          <cell r="F172">
            <v>216000</v>
          </cell>
          <cell r="G172" t="str">
            <v>0</v>
          </cell>
          <cell r="H172" t="str">
            <v>Asset</v>
          </cell>
          <cell r="I172" t="str">
            <v>Balance Sheet</v>
          </cell>
          <cell r="J172" t="str">
            <v>XAF</v>
          </cell>
          <cell r="K172" t="str">
            <v>Fonds commercial et droit au bail</v>
          </cell>
        </row>
        <row r="173">
          <cell r="A173" t="str">
            <v>A172</v>
          </cell>
          <cell r="B173" t="str">
            <v>"217000 - Investissements de création - OHADA"</v>
          </cell>
          <cell r="C173" t="str">
            <v>Investissements de création</v>
          </cell>
          <cell r="D173" t="str">
            <v>OHADA</v>
          </cell>
          <cell r="E173" t="str">
            <v>210000 - Immobilisations incorporelles - OHADA</v>
          </cell>
          <cell r="F173">
            <v>217000</v>
          </cell>
          <cell r="G173" t="str">
            <v>0</v>
          </cell>
          <cell r="H173" t="str">
            <v>Asset</v>
          </cell>
          <cell r="I173" t="str">
            <v>Balance Sheet</v>
          </cell>
          <cell r="J173" t="str">
            <v>XAF</v>
          </cell>
          <cell r="K173" t="str">
            <v>Autres immobilisations incorporelles</v>
          </cell>
        </row>
        <row r="174">
          <cell r="A174" t="str">
            <v>A173</v>
          </cell>
          <cell r="B174" t="str">
            <v>"218000 - Autres droits et valeurs incorporels - OHADA"</v>
          </cell>
          <cell r="C174" t="str">
            <v>Autres droits et valeurs incorporels</v>
          </cell>
          <cell r="D174" t="str">
            <v>OHADA</v>
          </cell>
          <cell r="E174" t="str">
            <v>210000 - Immobilisations incorporelles - OHADA</v>
          </cell>
          <cell r="F174">
            <v>218000</v>
          </cell>
          <cell r="G174" t="str">
            <v>1</v>
          </cell>
          <cell r="H174" t="str">
            <v>Asset</v>
          </cell>
          <cell r="I174" t="str">
            <v>Balance Sheet</v>
          </cell>
          <cell r="J174" t="str">
            <v>XAF</v>
          </cell>
          <cell r="K174" t="str">
            <v>Autres immobilisations incorporelles</v>
          </cell>
        </row>
        <row r="175">
          <cell r="A175" t="str">
            <v>A174</v>
          </cell>
          <cell r="B175" t="str">
            <v>"218100 - Frais de prospection et d’évaluation de ressources minérales - OHADA"</v>
          </cell>
          <cell r="C175" t="str">
            <v>Frais de prospection et d’évaluation de ressources minérales</v>
          </cell>
          <cell r="D175" t="str">
            <v>OHADA</v>
          </cell>
          <cell r="E175" t="str">
            <v>218000 - Autres droits et valeurs incorporels - OHADA</v>
          </cell>
          <cell r="F175">
            <v>218100</v>
          </cell>
          <cell r="G175" t="str">
            <v>0</v>
          </cell>
          <cell r="H175" t="str">
            <v>Asset</v>
          </cell>
          <cell r="I175" t="str">
            <v>Balance Sheet</v>
          </cell>
          <cell r="J175" t="str">
            <v>XAF</v>
          </cell>
          <cell r="K175" t="str">
            <v>Autres immobilisations incorporelles</v>
          </cell>
        </row>
        <row r="176">
          <cell r="A176" t="str">
            <v>A175</v>
          </cell>
          <cell r="B176" t="str">
            <v>"218200 - Coûts d’obtention du contrat - OHADA"</v>
          </cell>
          <cell r="C176" t="str">
            <v>Coûts d’obtention du contrat</v>
          </cell>
          <cell r="D176" t="str">
            <v>OHADA</v>
          </cell>
          <cell r="E176" t="str">
            <v>218000 - Autres droits et valeurs incorporels - OHADA</v>
          </cell>
          <cell r="F176">
            <v>218200</v>
          </cell>
          <cell r="G176" t="str">
            <v>0</v>
          </cell>
          <cell r="H176" t="str">
            <v>Asset</v>
          </cell>
          <cell r="I176" t="str">
            <v>Balance Sheet</v>
          </cell>
          <cell r="J176" t="str">
            <v>XAF</v>
          </cell>
          <cell r="K176" t="str">
            <v>Autres immobilisations incorporelles</v>
          </cell>
        </row>
        <row r="177">
          <cell r="A177" t="str">
            <v>A176</v>
          </cell>
          <cell r="B177" t="str">
            <v>"218300 - Fichiers clients, notices, titres de journaux et magazines - OHADA"</v>
          </cell>
          <cell r="C177" t="str">
            <v>Fichiers clients, notices, titres de journaux et magazines</v>
          </cell>
          <cell r="D177" t="str">
            <v>OHADA</v>
          </cell>
          <cell r="E177" t="str">
            <v>218000 - Autres droits et valeurs incorporels - OHADA</v>
          </cell>
          <cell r="F177">
            <v>218300</v>
          </cell>
          <cell r="G177" t="str">
            <v>0</v>
          </cell>
          <cell r="H177" t="str">
            <v>Asset</v>
          </cell>
          <cell r="I177" t="str">
            <v>Balance Sheet</v>
          </cell>
          <cell r="J177" t="str">
            <v>XAF</v>
          </cell>
          <cell r="K177" t="str">
            <v>Autres immobilisations incorporelles</v>
          </cell>
        </row>
        <row r="178">
          <cell r="A178" t="str">
            <v>A177</v>
          </cell>
          <cell r="B178" t="str">
            <v>"218400 - Coûts des franchises - OHADA"</v>
          </cell>
          <cell r="C178" t="str">
            <v>Coûts des franchises</v>
          </cell>
          <cell r="D178" t="str">
            <v>OHADA</v>
          </cell>
          <cell r="E178" t="str">
            <v>218000 - Autres droits et valeurs incorporels - OHADA</v>
          </cell>
          <cell r="F178">
            <v>218400</v>
          </cell>
          <cell r="G178" t="str">
            <v>0</v>
          </cell>
          <cell r="H178" t="str">
            <v>Asset</v>
          </cell>
          <cell r="I178" t="str">
            <v>Balance Sheet</v>
          </cell>
          <cell r="J178" t="str">
            <v>XAF</v>
          </cell>
          <cell r="K178" t="str">
            <v>Autres immobilisations incorporelles</v>
          </cell>
        </row>
        <row r="179">
          <cell r="A179" t="str">
            <v>A178</v>
          </cell>
          <cell r="B179" t="str">
            <v>"218800 - Divers droits et valeurs incorporelles - OHADA"</v>
          </cell>
          <cell r="C179" t="str">
            <v>Divers droits et valeurs incorporelles</v>
          </cell>
          <cell r="D179" t="str">
            <v>OHADA</v>
          </cell>
          <cell r="E179" t="str">
            <v>218000 - Autres droits et valeurs incorporels - OHADA</v>
          </cell>
          <cell r="F179">
            <v>218800</v>
          </cell>
          <cell r="G179" t="str">
            <v>0</v>
          </cell>
          <cell r="H179" t="str">
            <v>Asset</v>
          </cell>
          <cell r="I179" t="str">
            <v>Balance Sheet</v>
          </cell>
          <cell r="J179" t="str">
            <v>XAF</v>
          </cell>
          <cell r="K179" t="str">
            <v>Autres immobilisations incorporelles</v>
          </cell>
        </row>
        <row r="180">
          <cell r="A180" t="str">
            <v>A179</v>
          </cell>
          <cell r="B180" t="str">
            <v>"219000 - Immobilisations incorporelles en cours - OHADA"</v>
          </cell>
          <cell r="C180" t="str">
            <v>Immobilisations incorporelles en cours</v>
          </cell>
          <cell r="D180" t="str">
            <v>OHADA</v>
          </cell>
          <cell r="E180" t="str">
            <v>210000 - Immobilisations incorporelles - OHADA</v>
          </cell>
          <cell r="F180">
            <v>219000</v>
          </cell>
          <cell r="G180" t="str">
            <v>1</v>
          </cell>
          <cell r="H180" t="str">
            <v>Asset</v>
          </cell>
          <cell r="I180" t="str">
            <v>Balance Sheet</v>
          </cell>
          <cell r="J180" t="str">
            <v>XAF</v>
          </cell>
          <cell r="K180" t="str">
            <v>Autres immobilisations incorporelles</v>
          </cell>
        </row>
        <row r="181">
          <cell r="A181" t="str">
            <v>A180</v>
          </cell>
          <cell r="B181" t="str">
            <v>"219100 - Frais de développement - OHADA"</v>
          </cell>
          <cell r="C181" t="str">
            <v>Frais de développement</v>
          </cell>
          <cell r="D181" t="str">
            <v>OHADA</v>
          </cell>
          <cell r="E181" t="str">
            <v>219000 - Immobilisations incorporelles en cours - OHADA</v>
          </cell>
          <cell r="F181">
            <v>219100</v>
          </cell>
          <cell r="G181" t="str">
            <v>0</v>
          </cell>
          <cell r="H181" t="str">
            <v>Asset</v>
          </cell>
          <cell r="I181" t="str">
            <v>Balance Sheet</v>
          </cell>
          <cell r="J181" t="str">
            <v>XAF</v>
          </cell>
          <cell r="K181" t="str">
            <v>Autres immobilisations incorporelles</v>
          </cell>
        </row>
        <row r="182">
          <cell r="A182" t="str">
            <v>A181</v>
          </cell>
          <cell r="B182" t="str">
            <v>"219300 - Logiciels et internet - OHADA"</v>
          </cell>
          <cell r="C182" t="str">
            <v>Logiciels et internet</v>
          </cell>
          <cell r="D182" t="str">
            <v>OHADA</v>
          </cell>
          <cell r="E182" t="str">
            <v>219000 - Immobilisations incorporelles en cours - OHADA</v>
          </cell>
          <cell r="F182">
            <v>219300</v>
          </cell>
          <cell r="G182" t="str">
            <v>0</v>
          </cell>
          <cell r="H182" t="str">
            <v>Asset</v>
          </cell>
          <cell r="I182" t="str">
            <v>Balance Sheet</v>
          </cell>
          <cell r="J182" t="str">
            <v>XAF</v>
          </cell>
          <cell r="K182" t="str">
            <v>Autres immobilisations incorporelles</v>
          </cell>
        </row>
        <row r="183">
          <cell r="A183" t="str">
            <v>A182</v>
          </cell>
          <cell r="B183" t="str">
            <v>"219800 - Autres droits et valeurs incorporels - OHADA"</v>
          </cell>
          <cell r="C183" t="str">
            <v>Autres droits et valeurs incorporels</v>
          </cell>
          <cell r="D183" t="str">
            <v>OHADA</v>
          </cell>
          <cell r="E183" t="str">
            <v>219000 - Immobilisations incorporelles en cours - OHADA</v>
          </cell>
          <cell r="F183">
            <v>219800</v>
          </cell>
          <cell r="G183" t="str">
            <v>0</v>
          </cell>
          <cell r="H183" t="str">
            <v>Asset</v>
          </cell>
          <cell r="I183" t="str">
            <v>Balance Sheet</v>
          </cell>
          <cell r="J183" t="str">
            <v>XAF</v>
          </cell>
          <cell r="K183" t="str">
            <v>Autres immobilisations incorporelles</v>
          </cell>
        </row>
        <row r="184">
          <cell r="A184" t="str">
            <v>A183</v>
          </cell>
          <cell r="B184" t="str">
            <v>"220000 - Terrains - OHADA"</v>
          </cell>
          <cell r="C184" t="str">
            <v>Terrains</v>
          </cell>
          <cell r="D184" t="str">
            <v>OHADA</v>
          </cell>
          <cell r="E184" t="str">
            <v>2 - Comptes d’actif immobilisé - OHADA</v>
          </cell>
          <cell r="F184">
            <v>220000</v>
          </cell>
          <cell r="G184" t="str">
            <v>1</v>
          </cell>
          <cell r="H184" t="str">
            <v>Asset</v>
          </cell>
          <cell r="I184" t="str">
            <v>Balance Sheet</v>
          </cell>
          <cell r="J184" t="str">
            <v>XAF</v>
          </cell>
          <cell r="K184" t="str">
            <v>Terrains</v>
          </cell>
        </row>
        <row r="185">
          <cell r="A185" t="str">
            <v>A184</v>
          </cell>
          <cell r="B185" t="str">
            <v>"221000 - Terrains agricoles et forestiers - OHADA"</v>
          </cell>
          <cell r="C185" t="str">
            <v>Terrains agricoles et forestiers</v>
          </cell>
          <cell r="D185" t="str">
            <v>OHADA</v>
          </cell>
          <cell r="E185" t="str">
            <v>220000 - Terrains - OHADA</v>
          </cell>
          <cell r="F185">
            <v>221000</v>
          </cell>
          <cell r="G185" t="str">
            <v>1</v>
          </cell>
          <cell r="H185" t="str">
            <v>Asset</v>
          </cell>
          <cell r="I185" t="str">
            <v>Balance Sheet</v>
          </cell>
          <cell r="J185" t="str">
            <v>XAF</v>
          </cell>
          <cell r="K185" t="str">
            <v>Terrains</v>
          </cell>
        </row>
        <row r="186">
          <cell r="A186" t="str">
            <v>A185</v>
          </cell>
          <cell r="B186" t="str">
            <v>"221100 - Terrains d’exploitation agricole - OHADA"</v>
          </cell>
          <cell r="C186" t="str">
            <v>Terrains d’exploitation agricole</v>
          </cell>
          <cell r="D186" t="str">
            <v>OHADA</v>
          </cell>
          <cell r="E186" t="str">
            <v>221000 - Terrains agricoles et forestiers - OHADA</v>
          </cell>
          <cell r="F186">
            <v>221100</v>
          </cell>
          <cell r="G186" t="str">
            <v>0</v>
          </cell>
          <cell r="H186" t="str">
            <v>Asset</v>
          </cell>
          <cell r="I186" t="str">
            <v>Balance Sheet</v>
          </cell>
          <cell r="J186" t="str">
            <v>XAF</v>
          </cell>
          <cell r="K186" t="str">
            <v>Terrains</v>
          </cell>
        </row>
        <row r="187">
          <cell r="A187" t="str">
            <v>A186</v>
          </cell>
          <cell r="B187" t="str">
            <v>"221200 - Terrains d’exploitation forestière - OHADA"</v>
          </cell>
          <cell r="C187" t="str">
            <v>Terrains d’exploitation forestière</v>
          </cell>
          <cell r="D187" t="str">
            <v>OHADA</v>
          </cell>
          <cell r="E187" t="str">
            <v>221000 - Terrains agricoles et forestiers - OHADA</v>
          </cell>
          <cell r="F187">
            <v>221200</v>
          </cell>
          <cell r="G187" t="str">
            <v>0</v>
          </cell>
          <cell r="H187" t="str">
            <v>Asset</v>
          </cell>
          <cell r="I187" t="str">
            <v>Balance Sheet</v>
          </cell>
          <cell r="J187" t="str">
            <v>XAF</v>
          </cell>
          <cell r="K187" t="str">
            <v>Terrains</v>
          </cell>
        </row>
        <row r="188">
          <cell r="A188" t="str">
            <v>A187</v>
          </cell>
          <cell r="B188" t="str">
            <v>"221800 - Autres terrains - OHADA"</v>
          </cell>
          <cell r="C188" t="str">
            <v>Autres terrains</v>
          </cell>
          <cell r="D188" t="str">
            <v>OHADA</v>
          </cell>
          <cell r="E188" t="str">
            <v>221000 - Terrains agricoles et forestiers - OHADA</v>
          </cell>
          <cell r="F188">
            <v>221800</v>
          </cell>
          <cell r="G188" t="str">
            <v>0</v>
          </cell>
          <cell r="H188" t="str">
            <v>Asset</v>
          </cell>
          <cell r="I188" t="str">
            <v>Balance Sheet</v>
          </cell>
          <cell r="J188" t="str">
            <v>XAF</v>
          </cell>
          <cell r="K188" t="str">
            <v>Terrains</v>
          </cell>
        </row>
        <row r="189">
          <cell r="A189" t="str">
            <v>A188</v>
          </cell>
          <cell r="B189" t="str">
            <v>"222000 - Terrains nus - OHADA"</v>
          </cell>
          <cell r="C189" t="str">
            <v>Terrains nus</v>
          </cell>
          <cell r="D189" t="str">
            <v>OHADA</v>
          </cell>
          <cell r="E189" t="str">
            <v>220000 - Terrains - OHADA</v>
          </cell>
          <cell r="F189">
            <v>222000</v>
          </cell>
          <cell r="G189" t="str">
            <v>1</v>
          </cell>
          <cell r="H189" t="str">
            <v>Asset</v>
          </cell>
          <cell r="I189" t="str">
            <v>Balance Sheet</v>
          </cell>
          <cell r="J189" t="str">
            <v>XAF</v>
          </cell>
          <cell r="K189" t="str">
            <v>Terrains</v>
          </cell>
        </row>
        <row r="190">
          <cell r="A190" t="str">
            <v>A189</v>
          </cell>
          <cell r="B190" t="str">
            <v>"222100 - Terrains à bâtir - OHADA"</v>
          </cell>
          <cell r="C190" t="str">
            <v>Terrains à bâtir</v>
          </cell>
          <cell r="D190" t="str">
            <v>OHADA</v>
          </cell>
          <cell r="E190" t="str">
            <v>222000 - Terrains nus - OHADA</v>
          </cell>
          <cell r="F190">
            <v>222100</v>
          </cell>
          <cell r="G190" t="str">
            <v>0</v>
          </cell>
          <cell r="H190" t="str">
            <v>Asset</v>
          </cell>
          <cell r="I190" t="str">
            <v>Balance Sheet</v>
          </cell>
          <cell r="J190" t="str">
            <v>XAF</v>
          </cell>
          <cell r="K190" t="str">
            <v>Terrains</v>
          </cell>
        </row>
        <row r="191">
          <cell r="A191" t="str">
            <v>A190</v>
          </cell>
          <cell r="B191" t="str">
            <v>"222800 - Autres terrains nus - OHADA"</v>
          </cell>
          <cell r="C191" t="str">
            <v>Autres terrains nus</v>
          </cell>
          <cell r="D191" t="str">
            <v>OHADA</v>
          </cell>
          <cell r="E191" t="str">
            <v>222000 - Terrains nus - OHADA</v>
          </cell>
          <cell r="F191">
            <v>222800</v>
          </cell>
          <cell r="G191" t="str">
            <v>0</v>
          </cell>
          <cell r="H191" t="str">
            <v>Asset</v>
          </cell>
          <cell r="I191" t="str">
            <v>Balance Sheet</v>
          </cell>
          <cell r="J191" t="str">
            <v>XAF</v>
          </cell>
          <cell r="K191" t="str">
            <v>Terrains</v>
          </cell>
        </row>
        <row r="192">
          <cell r="A192" t="str">
            <v>A191</v>
          </cell>
          <cell r="B192" t="str">
            <v>"223000 - Terrains bâtis - OHADA"</v>
          </cell>
          <cell r="C192" t="str">
            <v>Terrains bâtis</v>
          </cell>
          <cell r="D192" t="str">
            <v>OHADA</v>
          </cell>
          <cell r="E192" t="str">
            <v>220000 - Terrains - OHADA</v>
          </cell>
          <cell r="F192">
            <v>223000</v>
          </cell>
          <cell r="G192" t="str">
            <v>1</v>
          </cell>
          <cell r="H192" t="str">
            <v>Asset</v>
          </cell>
          <cell r="I192" t="str">
            <v>Balance Sheet</v>
          </cell>
          <cell r="J192" t="str">
            <v>XAF</v>
          </cell>
          <cell r="K192" t="str">
            <v>Terrains</v>
          </cell>
        </row>
        <row r="193">
          <cell r="A193" t="str">
            <v>A192</v>
          </cell>
          <cell r="B193" t="str">
            <v>"223100 - Pour bâtiments industriels et agricoles - OHADA"</v>
          </cell>
          <cell r="C193" t="str">
            <v>Pour bâtiments industriels et agricoles</v>
          </cell>
          <cell r="D193" t="str">
            <v>OHADA</v>
          </cell>
          <cell r="E193" t="str">
            <v>223000 - Terrains bâtis - OHADA</v>
          </cell>
          <cell r="F193">
            <v>223100</v>
          </cell>
          <cell r="G193" t="str">
            <v>0</v>
          </cell>
          <cell r="H193" t="str">
            <v>Asset</v>
          </cell>
          <cell r="I193" t="str">
            <v>Balance Sheet</v>
          </cell>
          <cell r="J193" t="str">
            <v>XAF</v>
          </cell>
          <cell r="K193" t="str">
            <v>Terrains</v>
          </cell>
        </row>
        <row r="194">
          <cell r="A194" t="str">
            <v>A193</v>
          </cell>
          <cell r="B194" t="str">
            <v>"223200 - Pour bâtiments administratifs et commerciaux - OHADA"</v>
          </cell>
          <cell r="C194" t="str">
            <v>Pour bâtiments administratifs et commerciaux</v>
          </cell>
          <cell r="D194" t="str">
            <v>OHADA</v>
          </cell>
          <cell r="E194" t="str">
            <v>223000 - Terrains bâtis - OHADA</v>
          </cell>
          <cell r="F194">
            <v>223200</v>
          </cell>
          <cell r="G194" t="str">
            <v>0</v>
          </cell>
          <cell r="H194" t="str">
            <v>Asset</v>
          </cell>
          <cell r="I194" t="str">
            <v>Balance Sheet</v>
          </cell>
          <cell r="J194" t="str">
            <v>XAF</v>
          </cell>
          <cell r="K194" t="str">
            <v>Terrains</v>
          </cell>
        </row>
        <row r="195">
          <cell r="A195" t="str">
            <v>A194</v>
          </cell>
          <cell r="B195" t="str">
            <v>"223400 - Pour bâtiments affectés aux autres opérations professionnelles - OHADA"</v>
          </cell>
          <cell r="C195" t="str">
            <v>Pour bâtiments affectés aux autres opérations professionnelles</v>
          </cell>
          <cell r="D195" t="str">
            <v>OHADA</v>
          </cell>
          <cell r="E195" t="str">
            <v>223000 - Terrains bâtis - OHADA</v>
          </cell>
          <cell r="F195">
            <v>223400</v>
          </cell>
          <cell r="G195" t="str">
            <v>0</v>
          </cell>
          <cell r="H195" t="str">
            <v>Asset</v>
          </cell>
          <cell r="I195" t="str">
            <v>Balance Sheet</v>
          </cell>
          <cell r="J195" t="str">
            <v>XAF</v>
          </cell>
          <cell r="K195" t="str">
            <v>Terrains</v>
          </cell>
        </row>
        <row r="196">
          <cell r="A196" t="str">
            <v>A195</v>
          </cell>
          <cell r="B196" t="str">
            <v>"223500 - Pour bâtiments affectés aux autres opérations non professionnelles - OHADA"</v>
          </cell>
          <cell r="C196" t="str">
            <v>Pour bâtiments affectés aux autres opérations non professionnelles</v>
          </cell>
          <cell r="D196" t="str">
            <v>OHADA</v>
          </cell>
          <cell r="E196" t="str">
            <v>223000 - Terrains bâtis - OHADA</v>
          </cell>
          <cell r="F196">
            <v>223500</v>
          </cell>
          <cell r="G196" t="str">
            <v>0</v>
          </cell>
          <cell r="H196" t="str">
            <v>Asset</v>
          </cell>
          <cell r="I196" t="str">
            <v>Balance Sheet</v>
          </cell>
          <cell r="J196" t="str">
            <v>XAF</v>
          </cell>
          <cell r="K196" t="str">
            <v>Terrains</v>
          </cell>
        </row>
        <row r="197">
          <cell r="A197" t="str">
            <v>A196</v>
          </cell>
          <cell r="B197" t="str">
            <v>"223800 - Autres terrains bâtis - OHADA"</v>
          </cell>
          <cell r="C197" t="str">
            <v>Autres terrains bâtis</v>
          </cell>
          <cell r="D197" t="str">
            <v>OHADA</v>
          </cell>
          <cell r="E197" t="str">
            <v>223000 - Terrains bâtis - OHADA</v>
          </cell>
          <cell r="F197">
            <v>223800</v>
          </cell>
          <cell r="G197" t="str">
            <v>0</v>
          </cell>
          <cell r="H197" t="str">
            <v>Asset</v>
          </cell>
          <cell r="I197" t="str">
            <v>Balance Sheet</v>
          </cell>
          <cell r="J197" t="str">
            <v>XAF</v>
          </cell>
          <cell r="K197" t="str">
            <v>Terrains</v>
          </cell>
        </row>
        <row r="198">
          <cell r="A198" t="str">
            <v>A197</v>
          </cell>
          <cell r="B198" t="str">
            <v>"224000 - Travaux de mise en valeur des terrains - OHADA"</v>
          </cell>
          <cell r="C198" t="str">
            <v>Travaux de mise en valeur des terrains</v>
          </cell>
          <cell r="D198" t="str">
            <v>OHADA</v>
          </cell>
          <cell r="E198" t="str">
            <v>220000 - Terrains - OHADA</v>
          </cell>
          <cell r="F198">
            <v>224000</v>
          </cell>
          <cell r="G198" t="str">
            <v>1</v>
          </cell>
          <cell r="H198" t="str">
            <v>Asset</v>
          </cell>
          <cell r="I198" t="str">
            <v>Balance Sheet</v>
          </cell>
          <cell r="J198" t="str">
            <v>XAF</v>
          </cell>
          <cell r="K198" t="str">
            <v>Terrains</v>
          </cell>
        </row>
        <row r="199">
          <cell r="A199" t="str">
            <v>A198</v>
          </cell>
          <cell r="B199" t="str">
            <v>"224100 - Plantation d’arbres et d’arbustes - OHADA"</v>
          </cell>
          <cell r="C199" t="str">
            <v>Plantation d’arbres et d’arbustes</v>
          </cell>
          <cell r="D199" t="str">
            <v>OHADA</v>
          </cell>
          <cell r="E199" t="str">
            <v>224000 - Travaux de mise en valeur des terrains - OHADA</v>
          </cell>
          <cell r="F199">
            <v>224100</v>
          </cell>
          <cell r="G199" t="str">
            <v>0</v>
          </cell>
          <cell r="H199" t="str">
            <v>Asset</v>
          </cell>
          <cell r="I199" t="str">
            <v>Balance Sheet</v>
          </cell>
          <cell r="J199" t="str">
            <v>XAF</v>
          </cell>
          <cell r="K199" t="str">
            <v>Terrains</v>
          </cell>
        </row>
        <row r="200">
          <cell r="A200" t="str">
            <v>A199</v>
          </cell>
          <cell r="B200" t="str">
            <v>"224500 - Améliorations du fonds - OHADA"</v>
          </cell>
          <cell r="C200" t="str">
            <v>Améliorations du fonds</v>
          </cell>
          <cell r="D200" t="str">
            <v>OHADA</v>
          </cell>
          <cell r="E200" t="str">
            <v>224000 - Travaux de mise en valeur des terrains - OHADA</v>
          </cell>
          <cell r="F200">
            <v>224500</v>
          </cell>
          <cell r="G200" t="str">
            <v>0</v>
          </cell>
          <cell r="H200" t="str">
            <v>Asset</v>
          </cell>
          <cell r="I200" t="str">
            <v>Balance Sheet</v>
          </cell>
          <cell r="J200" t="str">
            <v>XAF</v>
          </cell>
          <cell r="K200" t="str">
            <v>Terrains</v>
          </cell>
        </row>
        <row r="201">
          <cell r="A201" t="str">
            <v>A200</v>
          </cell>
          <cell r="B201" t="str">
            <v>"224800 - Autres travaux - OHADA"</v>
          </cell>
          <cell r="C201" t="str">
            <v>Autres travaux</v>
          </cell>
          <cell r="D201" t="str">
            <v>OHADA</v>
          </cell>
          <cell r="E201" t="str">
            <v>224000 - Travaux de mise en valeur des terrains - OHADA</v>
          </cell>
          <cell r="F201">
            <v>224800</v>
          </cell>
          <cell r="G201" t="str">
            <v>0</v>
          </cell>
          <cell r="H201" t="str">
            <v>Asset</v>
          </cell>
          <cell r="I201" t="str">
            <v>Balance Sheet</v>
          </cell>
          <cell r="J201" t="str">
            <v>XAF</v>
          </cell>
          <cell r="K201" t="str">
            <v>Terrains</v>
          </cell>
        </row>
        <row r="202">
          <cell r="A202" t="str">
            <v>A201</v>
          </cell>
          <cell r="B202" t="str">
            <v>"225000 - Terrains de carrières tréfonds - OHADA"</v>
          </cell>
          <cell r="C202" t="str">
            <v>Terrains de carrières tréfonds</v>
          </cell>
          <cell r="D202" t="str">
            <v>OHADA</v>
          </cell>
          <cell r="E202" t="str">
            <v>220000 - Terrains - OHADA</v>
          </cell>
          <cell r="F202">
            <v>225000</v>
          </cell>
          <cell r="G202" t="str">
            <v>1</v>
          </cell>
          <cell r="H202" t="str">
            <v>Asset</v>
          </cell>
          <cell r="I202" t="str">
            <v>Balance Sheet</v>
          </cell>
          <cell r="J202" t="str">
            <v>XAF</v>
          </cell>
          <cell r="K202" t="str">
            <v>Terrains</v>
          </cell>
        </row>
        <row r="203">
          <cell r="A203" t="str">
            <v>A202</v>
          </cell>
          <cell r="B203" t="str">
            <v>"225100 - Carrières - OHADA"</v>
          </cell>
          <cell r="C203" t="str">
            <v>Carrières</v>
          </cell>
          <cell r="D203" t="str">
            <v>OHADA</v>
          </cell>
          <cell r="E203" t="str">
            <v>225000 - Terrains de carrières tréfonds - OHADA</v>
          </cell>
          <cell r="F203">
            <v>225100</v>
          </cell>
          <cell r="G203" t="str">
            <v>0</v>
          </cell>
          <cell r="H203" t="str">
            <v>Asset</v>
          </cell>
          <cell r="I203" t="str">
            <v>Balance Sheet</v>
          </cell>
          <cell r="J203" t="str">
            <v>XAF</v>
          </cell>
          <cell r="K203" t="str">
            <v>Terrains</v>
          </cell>
        </row>
        <row r="204">
          <cell r="A204" t="str">
            <v>A203</v>
          </cell>
          <cell r="B204" t="str">
            <v>"226000 - Terrains aménagés - OHADA"</v>
          </cell>
          <cell r="C204" t="str">
            <v>Terrains aménagés</v>
          </cell>
          <cell r="D204" t="str">
            <v>OHADA</v>
          </cell>
          <cell r="E204" t="str">
            <v>220000 - Terrains - OHADA</v>
          </cell>
          <cell r="F204">
            <v>226000</v>
          </cell>
          <cell r="G204" t="str">
            <v>1</v>
          </cell>
          <cell r="H204" t="str">
            <v>Asset</v>
          </cell>
          <cell r="I204" t="str">
            <v>Balance Sheet</v>
          </cell>
          <cell r="J204" t="str">
            <v>XAF</v>
          </cell>
          <cell r="K204" t="str">
            <v>Terrains</v>
          </cell>
        </row>
        <row r="205">
          <cell r="A205" t="str">
            <v>A204</v>
          </cell>
          <cell r="B205" t="str">
            <v>"226100 - Parkings - OHADA"</v>
          </cell>
          <cell r="C205" t="str">
            <v>Parkings</v>
          </cell>
          <cell r="D205" t="str">
            <v>OHADA</v>
          </cell>
          <cell r="E205" t="str">
            <v>226000 - Terrains aménagés - OHADA</v>
          </cell>
          <cell r="F205">
            <v>226100</v>
          </cell>
          <cell r="G205" t="str">
            <v>0</v>
          </cell>
          <cell r="H205" t="str">
            <v>Asset</v>
          </cell>
          <cell r="I205" t="str">
            <v>Balance Sheet</v>
          </cell>
          <cell r="J205" t="str">
            <v>XAF</v>
          </cell>
          <cell r="K205" t="str">
            <v>Terrains</v>
          </cell>
        </row>
        <row r="206">
          <cell r="A206" t="str">
            <v>A205</v>
          </cell>
          <cell r="B206" t="str">
            <v>"227000 - Terrains mis en concession - OHADA"</v>
          </cell>
          <cell r="C206" t="str">
            <v>Terrains mis en concession</v>
          </cell>
          <cell r="D206" t="str">
            <v>OHADA</v>
          </cell>
          <cell r="E206" t="str">
            <v>220000 - Terrains - OHADA</v>
          </cell>
          <cell r="F206">
            <v>227000</v>
          </cell>
          <cell r="G206" t="str">
            <v>0</v>
          </cell>
          <cell r="H206" t="str">
            <v>Asset</v>
          </cell>
          <cell r="I206" t="str">
            <v>Balance Sheet</v>
          </cell>
          <cell r="J206" t="str">
            <v>XAF</v>
          </cell>
          <cell r="K206" t="str">
            <v>Terrains</v>
          </cell>
        </row>
        <row r="207">
          <cell r="A207" t="str">
            <v>A206</v>
          </cell>
          <cell r="B207" t="str">
            <v>"228000 - Autres terrains - OHADA"</v>
          </cell>
          <cell r="C207" t="str">
            <v>Autres terrains</v>
          </cell>
          <cell r="D207" t="str">
            <v>OHADA</v>
          </cell>
          <cell r="E207" t="str">
            <v>220000 - Terrains - OHADA</v>
          </cell>
          <cell r="F207">
            <v>228000</v>
          </cell>
          <cell r="G207" t="str">
            <v>1</v>
          </cell>
          <cell r="H207" t="str">
            <v>Asset</v>
          </cell>
          <cell r="I207" t="str">
            <v>Balance Sheet</v>
          </cell>
          <cell r="J207" t="str">
            <v>XAF</v>
          </cell>
          <cell r="K207" t="str">
            <v>Terrains</v>
          </cell>
        </row>
        <row r="208">
          <cell r="A208" t="str">
            <v>A207</v>
          </cell>
          <cell r="B208" t="str">
            <v>"228100 - Terrains immeubles de placement - OHADA"</v>
          </cell>
          <cell r="C208" t="str">
            <v>Terrains immeubles de placement</v>
          </cell>
          <cell r="D208" t="str">
            <v>OHADA</v>
          </cell>
          <cell r="E208" t="str">
            <v>228000 - Autres terrains - OHADA</v>
          </cell>
          <cell r="F208">
            <v>228100</v>
          </cell>
          <cell r="G208" t="str">
            <v>0</v>
          </cell>
          <cell r="H208" t="str">
            <v>Asset</v>
          </cell>
          <cell r="I208" t="str">
            <v>Balance Sheet</v>
          </cell>
          <cell r="J208" t="str">
            <v>XAF</v>
          </cell>
          <cell r="K208" t="str">
            <v>Terrains</v>
          </cell>
        </row>
        <row r="209">
          <cell r="A209" t="str">
            <v>A208</v>
          </cell>
          <cell r="B209" t="str">
            <v>"228500 - Terrains des logements affectés au personnel - OHADA"</v>
          </cell>
          <cell r="C209" t="str">
            <v>Terrains des logements affectés au personnel</v>
          </cell>
          <cell r="D209" t="str">
            <v>OHADA</v>
          </cell>
          <cell r="E209" t="str">
            <v>228000 - Autres terrains - OHADA</v>
          </cell>
          <cell r="F209">
            <v>228500</v>
          </cell>
          <cell r="G209" t="str">
            <v>0</v>
          </cell>
          <cell r="H209" t="str">
            <v>Asset</v>
          </cell>
          <cell r="I209" t="str">
            <v>Balance Sheet</v>
          </cell>
          <cell r="J209" t="str">
            <v>XAF</v>
          </cell>
          <cell r="K209" t="str">
            <v>Terrains</v>
          </cell>
        </row>
        <row r="210">
          <cell r="A210" t="str">
            <v>A209</v>
          </cell>
          <cell r="B210" t="str">
            <v>"228600 - Terrains de location acquisition - OHADA"</v>
          </cell>
          <cell r="C210" t="str">
            <v>Terrains de location acquisition</v>
          </cell>
          <cell r="D210" t="str">
            <v>OHADA</v>
          </cell>
          <cell r="E210" t="str">
            <v>228000 - Autres terrains - OHADA</v>
          </cell>
          <cell r="F210">
            <v>228600</v>
          </cell>
          <cell r="G210" t="str">
            <v>0</v>
          </cell>
          <cell r="H210" t="str">
            <v>Asset</v>
          </cell>
          <cell r="I210" t="str">
            <v>Balance Sheet</v>
          </cell>
          <cell r="J210" t="str">
            <v>XAF</v>
          </cell>
          <cell r="K210" t="str">
            <v>Terrains</v>
          </cell>
        </row>
        <row r="211">
          <cell r="A211" t="str">
            <v>A210</v>
          </cell>
          <cell r="B211" t="str">
            <v>"228800 - Divers terrains - OHADA"</v>
          </cell>
          <cell r="C211" t="str">
            <v>Divers terrains</v>
          </cell>
          <cell r="D211" t="str">
            <v>OHADA</v>
          </cell>
          <cell r="E211" t="str">
            <v>228000 - Autres terrains - OHADA</v>
          </cell>
          <cell r="F211">
            <v>228800</v>
          </cell>
          <cell r="G211" t="str">
            <v>0</v>
          </cell>
          <cell r="H211" t="str">
            <v>Asset</v>
          </cell>
          <cell r="I211" t="str">
            <v>Balance Sheet</v>
          </cell>
          <cell r="J211" t="str">
            <v>XAF</v>
          </cell>
          <cell r="K211" t="str">
            <v>Terrains</v>
          </cell>
        </row>
        <row r="212">
          <cell r="A212" t="str">
            <v>A211</v>
          </cell>
          <cell r="B212" t="str">
            <v>"229000 - Aménagements de terrains en cours - OHADA"</v>
          </cell>
          <cell r="C212" t="str">
            <v>Aménagements de terrains en cours</v>
          </cell>
          <cell r="D212" t="str">
            <v>OHADA</v>
          </cell>
          <cell r="E212" t="str">
            <v>220000 - Terrains - OHADA</v>
          </cell>
          <cell r="F212">
            <v>229000</v>
          </cell>
          <cell r="G212" t="str">
            <v>1</v>
          </cell>
          <cell r="H212" t="str">
            <v>Asset</v>
          </cell>
          <cell r="I212" t="str">
            <v>Balance Sheet</v>
          </cell>
          <cell r="J212" t="str">
            <v>XAF</v>
          </cell>
          <cell r="K212" t="str">
            <v>Terrains</v>
          </cell>
        </row>
        <row r="213">
          <cell r="A213" t="str">
            <v>A212</v>
          </cell>
          <cell r="B213" t="str">
            <v>"229100 - Terrains agricoles et forestiers - OHADA"</v>
          </cell>
          <cell r="C213" t="str">
            <v>Terrains agricoles et forestiers</v>
          </cell>
          <cell r="D213" t="str">
            <v>OHADA</v>
          </cell>
          <cell r="E213" t="str">
            <v>229000 - Aménagements de terrains en cours - OHADA</v>
          </cell>
          <cell r="F213">
            <v>229100</v>
          </cell>
          <cell r="G213" t="str">
            <v>0</v>
          </cell>
          <cell r="H213" t="str">
            <v>Asset</v>
          </cell>
          <cell r="I213" t="str">
            <v>Balance Sheet</v>
          </cell>
          <cell r="J213" t="str">
            <v>XAF</v>
          </cell>
          <cell r="K213" t="str">
            <v>Terrains</v>
          </cell>
        </row>
        <row r="214">
          <cell r="A214" t="str">
            <v>A213</v>
          </cell>
          <cell r="B214" t="str">
            <v>"229200 - Terrains nus - OHADA"</v>
          </cell>
          <cell r="C214" t="str">
            <v>Terrains nus</v>
          </cell>
          <cell r="D214" t="str">
            <v>OHADA</v>
          </cell>
          <cell r="E214" t="str">
            <v>229000 - Aménagements de terrains en cours - OHADA</v>
          </cell>
          <cell r="F214">
            <v>229200</v>
          </cell>
          <cell r="G214" t="str">
            <v>0</v>
          </cell>
          <cell r="H214" t="str">
            <v>Asset</v>
          </cell>
          <cell r="I214" t="str">
            <v>Balance Sheet</v>
          </cell>
          <cell r="J214" t="str">
            <v>XAF</v>
          </cell>
          <cell r="K214" t="str">
            <v>Terrains</v>
          </cell>
        </row>
        <row r="215">
          <cell r="A215" t="str">
            <v>A214</v>
          </cell>
          <cell r="B215" t="str">
            <v>"229500 - Terrains de carrières tréfonds - OHADA"</v>
          </cell>
          <cell r="C215" t="str">
            <v>Terrains de carrières tréfonds</v>
          </cell>
          <cell r="D215" t="str">
            <v>OHADA</v>
          </cell>
          <cell r="E215" t="str">
            <v>229000 - Aménagements de terrains en cours - OHADA</v>
          </cell>
          <cell r="F215">
            <v>229500</v>
          </cell>
          <cell r="G215" t="str">
            <v>0</v>
          </cell>
          <cell r="H215" t="str">
            <v>Asset</v>
          </cell>
          <cell r="I215" t="str">
            <v>Balance Sheet</v>
          </cell>
          <cell r="J215" t="str">
            <v>XAF</v>
          </cell>
          <cell r="K215" t="str">
            <v>Terrains</v>
          </cell>
        </row>
        <row r="216">
          <cell r="A216" t="str">
            <v>A215</v>
          </cell>
          <cell r="B216" t="str">
            <v>"229800 - Autres terrains - OHADA"</v>
          </cell>
          <cell r="C216" t="str">
            <v>Autres terrains</v>
          </cell>
          <cell r="D216" t="str">
            <v>OHADA</v>
          </cell>
          <cell r="E216" t="str">
            <v>229000 - Aménagements de terrains en cours - OHADA</v>
          </cell>
          <cell r="F216">
            <v>229800</v>
          </cell>
          <cell r="G216" t="str">
            <v>0</v>
          </cell>
          <cell r="H216" t="str">
            <v>Asset</v>
          </cell>
          <cell r="I216" t="str">
            <v>Balance Sheet</v>
          </cell>
          <cell r="J216" t="str">
            <v>XAF</v>
          </cell>
          <cell r="K216" t="str">
            <v>Terrains</v>
          </cell>
        </row>
        <row r="217">
          <cell r="A217" t="str">
            <v>A216</v>
          </cell>
          <cell r="B217" t="str">
            <v>"240000 - Matériel, mobilier et actifs biologiques - OHADA"</v>
          </cell>
          <cell r="C217" t="str">
            <v>Matériel, mobilier et actifs biologiques</v>
          </cell>
          <cell r="D217" t="str">
            <v>OHADA</v>
          </cell>
          <cell r="E217" t="str">
            <v>2 - Comptes d’actif immobilisé - OHADA</v>
          </cell>
          <cell r="F217">
            <v>240000</v>
          </cell>
          <cell r="G217" t="str">
            <v>1</v>
          </cell>
          <cell r="H217" t="str">
            <v>Asset</v>
          </cell>
          <cell r="I217" t="str">
            <v>Balance Sheet</v>
          </cell>
          <cell r="J217" t="str">
            <v>XAF</v>
          </cell>
          <cell r="K217" t="str">
            <v>Matériel, mobilier et actifs biologiques</v>
          </cell>
        </row>
        <row r="218">
          <cell r="A218" t="str">
            <v>A217</v>
          </cell>
          <cell r="B218" t="str">
            <v>"241000 - Matériel et outillage industriel et commercial - OHADA"</v>
          </cell>
          <cell r="C218" t="str">
            <v>Matériel et outillage industriel et commercial</v>
          </cell>
          <cell r="D218" t="str">
            <v>OHADA</v>
          </cell>
          <cell r="E218" t="str">
            <v>240000 - Matériel, mobilier et actifs biologiques - OHADA</v>
          </cell>
          <cell r="F218">
            <v>241000</v>
          </cell>
          <cell r="G218" t="str">
            <v>1</v>
          </cell>
          <cell r="H218" t="str">
            <v>Asset</v>
          </cell>
          <cell r="I218" t="str">
            <v>Balance Sheet</v>
          </cell>
          <cell r="J218" t="str">
            <v>XAF</v>
          </cell>
          <cell r="K218" t="str">
            <v>Matériel, mobilier et actifs biologiques</v>
          </cell>
        </row>
        <row r="219">
          <cell r="A219" t="str">
            <v>A218</v>
          </cell>
          <cell r="B219" t="str">
            <v>"241100 - Matériel industriel - OHADA"</v>
          </cell>
          <cell r="C219" t="str">
            <v>Matériel industriel</v>
          </cell>
          <cell r="D219" t="str">
            <v>OHADA</v>
          </cell>
          <cell r="E219" t="str">
            <v>241000 - Matériel et outillage industriel et commercial - OHADA</v>
          </cell>
          <cell r="F219">
            <v>241100</v>
          </cell>
          <cell r="G219" t="str">
            <v>0</v>
          </cell>
          <cell r="H219" t="str">
            <v>Asset</v>
          </cell>
          <cell r="I219" t="str">
            <v>Balance Sheet</v>
          </cell>
          <cell r="J219" t="str">
            <v>XAF</v>
          </cell>
          <cell r="K219" t="str">
            <v>Matériel, mobilier et actifs biologiques</v>
          </cell>
        </row>
        <row r="220">
          <cell r="A220" t="str">
            <v>A219</v>
          </cell>
          <cell r="B220" t="str">
            <v>"241200 - Outillage industriel - OHADA"</v>
          </cell>
          <cell r="C220" t="str">
            <v>Outillage industriel</v>
          </cell>
          <cell r="D220" t="str">
            <v>OHADA</v>
          </cell>
          <cell r="E220" t="str">
            <v>241000 - Matériel et outillage industriel et commercial - OHADA</v>
          </cell>
          <cell r="F220">
            <v>241200</v>
          </cell>
          <cell r="G220" t="str">
            <v>0</v>
          </cell>
          <cell r="H220" t="str">
            <v>Asset</v>
          </cell>
          <cell r="I220" t="str">
            <v>Balance Sheet</v>
          </cell>
          <cell r="J220" t="str">
            <v>XAF</v>
          </cell>
          <cell r="K220" t="str">
            <v>Matériel, mobilier et actifs biologiques</v>
          </cell>
        </row>
        <row r="221">
          <cell r="A221" t="str">
            <v>A220</v>
          </cell>
          <cell r="B221" t="str">
            <v>"241300 - Matériel commercial - OHADA"</v>
          </cell>
          <cell r="C221" t="str">
            <v>Matériel commercial</v>
          </cell>
          <cell r="D221" t="str">
            <v>OHADA</v>
          </cell>
          <cell r="E221" t="str">
            <v>241000 - Matériel et outillage industriel et commercial - OHADA</v>
          </cell>
          <cell r="F221">
            <v>241300</v>
          </cell>
          <cell r="G221" t="str">
            <v>0</v>
          </cell>
          <cell r="H221" t="str">
            <v>Asset</v>
          </cell>
          <cell r="I221" t="str">
            <v>Balance Sheet</v>
          </cell>
          <cell r="J221" t="str">
            <v>XAF</v>
          </cell>
          <cell r="K221" t="str">
            <v>Matériel, mobilier et actifs biologiques</v>
          </cell>
        </row>
        <row r="222">
          <cell r="A222" t="str">
            <v>A221</v>
          </cell>
          <cell r="B222" t="str">
            <v>"241400 - Outillage commercial - OHADA"</v>
          </cell>
          <cell r="C222" t="str">
            <v>Outillage commercial</v>
          </cell>
          <cell r="D222" t="str">
            <v>OHADA</v>
          </cell>
          <cell r="E222" t="str">
            <v>241000 - Matériel et outillage industriel et commercial - OHADA</v>
          </cell>
          <cell r="F222">
            <v>241400</v>
          </cell>
          <cell r="G222" t="str">
            <v>0</v>
          </cell>
          <cell r="H222" t="str">
            <v>Asset</v>
          </cell>
          <cell r="I222" t="str">
            <v>Balance Sheet</v>
          </cell>
          <cell r="J222" t="str">
            <v>XAF</v>
          </cell>
          <cell r="K222" t="str">
            <v>Matériel, mobilier et actifs biologiques</v>
          </cell>
        </row>
        <row r="223">
          <cell r="A223" t="str">
            <v>A222</v>
          </cell>
          <cell r="B223" t="str">
            <v>"241600 - Matériel &amp; outillage industriel et commercial de location - acquisition - OHADA"</v>
          </cell>
          <cell r="C223" t="str">
            <v>Matériel &amp; outillage industriel et commercial de location-acquisition</v>
          </cell>
          <cell r="D223" t="str">
            <v>OHADA</v>
          </cell>
          <cell r="E223" t="str">
            <v>241000 - Matériel et outillage industriel et commercial - OHADA</v>
          </cell>
          <cell r="F223">
            <v>241600</v>
          </cell>
          <cell r="G223" t="str">
            <v>0</v>
          </cell>
          <cell r="H223" t="str">
            <v>Asset</v>
          </cell>
          <cell r="I223" t="str">
            <v>Balance Sheet</v>
          </cell>
          <cell r="J223" t="str">
            <v>XAF</v>
          </cell>
          <cell r="K223" t="str">
            <v>Matériel, mobilier et actifs biologiques</v>
          </cell>
        </row>
        <row r="224">
          <cell r="A224" t="str">
            <v>A223</v>
          </cell>
          <cell r="B224" t="str">
            <v>"242000 - Matériel et outillage agricole - OHADA"</v>
          </cell>
          <cell r="C224" t="str">
            <v>Matériel et outillage agricole</v>
          </cell>
          <cell r="D224" t="str">
            <v>OHADA</v>
          </cell>
          <cell r="E224" t="str">
            <v>240000 - Matériel, mobilier et actifs biologiques - OHADA</v>
          </cell>
          <cell r="F224">
            <v>242000</v>
          </cell>
          <cell r="G224" t="str">
            <v>1</v>
          </cell>
          <cell r="H224" t="str">
            <v>Asset</v>
          </cell>
          <cell r="I224" t="str">
            <v>Balance Sheet</v>
          </cell>
          <cell r="J224" t="str">
            <v>XAF</v>
          </cell>
          <cell r="K224" t="str">
            <v>Matériel, mobilier et actifs biologiques</v>
          </cell>
        </row>
        <row r="225">
          <cell r="A225" t="str">
            <v>A224</v>
          </cell>
          <cell r="B225" t="str">
            <v>"242100 - Matériel agricole - OHADA"</v>
          </cell>
          <cell r="C225" t="str">
            <v>Matériel agricole</v>
          </cell>
          <cell r="D225" t="str">
            <v>OHADA</v>
          </cell>
          <cell r="E225" t="str">
            <v>242000 - Matériel et outillage agricole - OHADA</v>
          </cell>
          <cell r="F225">
            <v>242100</v>
          </cell>
          <cell r="G225" t="str">
            <v>0</v>
          </cell>
          <cell r="H225" t="str">
            <v>Asset</v>
          </cell>
          <cell r="I225" t="str">
            <v>Balance Sheet</v>
          </cell>
          <cell r="J225" t="str">
            <v>XAF</v>
          </cell>
          <cell r="K225" t="str">
            <v>Matériel, mobilier et actifs biologiques</v>
          </cell>
        </row>
        <row r="226">
          <cell r="A226" t="str">
            <v>A225</v>
          </cell>
          <cell r="B226" t="str">
            <v>"242200 - Outillage agricole - OHADA"</v>
          </cell>
          <cell r="C226" t="str">
            <v>Outillage agricole</v>
          </cell>
          <cell r="D226" t="str">
            <v>OHADA</v>
          </cell>
          <cell r="E226" t="str">
            <v>242000 - Matériel et outillage agricole - OHADA</v>
          </cell>
          <cell r="F226">
            <v>242200</v>
          </cell>
          <cell r="G226" t="str">
            <v>0</v>
          </cell>
          <cell r="H226" t="str">
            <v>Asset</v>
          </cell>
          <cell r="I226" t="str">
            <v>Balance Sheet</v>
          </cell>
          <cell r="J226" t="str">
            <v>XAF</v>
          </cell>
          <cell r="K226" t="str">
            <v>Matériel, mobilier et actifs biologiques</v>
          </cell>
        </row>
        <row r="227">
          <cell r="A227" t="str">
            <v>A226</v>
          </cell>
          <cell r="B227" t="str">
            <v>"242600 - Matériel &amp; outillage agricole de location - acquisition - OHADA"</v>
          </cell>
          <cell r="C227" t="str">
            <v>Matériel &amp; outillage agricole de location-acquisition</v>
          </cell>
          <cell r="D227" t="str">
            <v>OHADA</v>
          </cell>
          <cell r="E227" t="str">
            <v>242000 - Matériel et outillage agricole - OHADA</v>
          </cell>
          <cell r="F227">
            <v>242600</v>
          </cell>
          <cell r="G227" t="str">
            <v>0</v>
          </cell>
          <cell r="H227" t="str">
            <v>Asset</v>
          </cell>
          <cell r="I227" t="str">
            <v>Balance Sheet</v>
          </cell>
          <cell r="J227" t="str">
            <v>XAF</v>
          </cell>
          <cell r="K227" t="str">
            <v>Matériel, mobilier et actifs biologiques</v>
          </cell>
        </row>
        <row r="228">
          <cell r="A228" t="str">
            <v>A227</v>
          </cell>
          <cell r="B228" t="str">
            <v>"243000 - Matériel d’emballage récupérable et identifiable - OHADA"</v>
          </cell>
          <cell r="C228" t="str">
            <v>Matériel d’emballage récupérable et identifiable</v>
          </cell>
          <cell r="D228" t="str">
            <v>OHADA</v>
          </cell>
          <cell r="E228" t="str">
            <v>240000 - Matériel, mobilier et actifs biologiques - OHADA</v>
          </cell>
          <cell r="F228">
            <v>243000</v>
          </cell>
          <cell r="G228" t="str">
            <v>0</v>
          </cell>
          <cell r="H228" t="str">
            <v>Asset</v>
          </cell>
          <cell r="I228" t="str">
            <v>Balance Sheet</v>
          </cell>
          <cell r="J228" t="str">
            <v>XAF</v>
          </cell>
          <cell r="K228" t="str">
            <v>Matériel, mobilier et actifs biologiques</v>
          </cell>
        </row>
        <row r="229">
          <cell r="A229" t="str">
            <v>A228</v>
          </cell>
          <cell r="B229" t="str">
            <v>"244000 - Matériel et mobilier - OHADA"</v>
          </cell>
          <cell r="C229" t="str">
            <v>Matériel et mobilier</v>
          </cell>
          <cell r="D229" t="str">
            <v>OHADA</v>
          </cell>
          <cell r="E229" t="str">
            <v>240000 - Matériel, mobilier et actifs biologiques - OHADA</v>
          </cell>
          <cell r="F229">
            <v>244000</v>
          </cell>
          <cell r="G229" t="str">
            <v>1</v>
          </cell>
          <cell r="H229" t="str">
            <v>Asset</v>
          </cell>
          <cell r="I229" t="str">
            <v>Balance Sheet</v>
          </cell>
          <cell r="J229" t="str">
            <v>XAF</v>
          </cell>
          <cell r="K229" t="str">
            <v>Matériel, mobilier et actifs biologiques</v>
          </cell>
        </row>
        <row r="230">
          <cell r="A230" t="str">
            <v>A229</v>
          </cell>
          <cell r="B230" t="str">
            <v>"244100 - Matériel de bureau - OHADA"</v>
          </cell>
          <cell r="C230" t="str">
            <v>Matériel de bureau</v>
          </cell>
          <cell r="D230" t="str">
            <v>OHADA</v>
          </cell>
          <cell r="E230" t="str">
            <v>244000 - Matériel et mobilier - OHADA</v>
          </cell>
          <cell r="F230">
            <v>244100</v>
          </cell>
          <cell r="G230" t="str">
            <v>0</v>
          </cell>
          <cell r="H230" t="str">
            <v>Asset</v>
          </cell>
          <cell r="I230" t="str">
            <v>Balance Sheet</v>
          </cell>
          <cell r="J230" t="str">
            <v>XAF</v>
          </cell>
          <cell r="K230" t="str">
            <v>Matériel, mobilier et actifs biologiques</v>
          </cell>
        </row>
        <row r="231">
          <cell r="A231" t="str">
            <v>A230</v>
          </cell>
          <cell r="B231" t="str">
            <v>"244200 - Matériel informatique - OHADA"</v>
          </cell>
          <cell r="C231" t="str">
            <v>Matériel informatique</v>
          </cell>
          <cell r="D231" t="str">
            <v>OHADA</v>
          </cell>
          <cell r="E231" t="str">
            <v>244000 - Matériel et mobilier - OHADA</v>
          </cell>
          <cell r="F231">
            <v>244200</v>
          </cell>
          <cell r="G231" t="str">
            <v>0</v>
          </cell>
          <cell r="H231" t="str">
            <v>Asset</v>
          </cell>
          <cell r="I231" t="str">
            <v>Balance Sheet</v>
          </cell>
          <cell r="J231" t="str">
            <v>XAF</v>
          </cell>
          <cell r="K231" t="str">
            <v>Matériel, mobilier et actifs biologiques</v>
          </cell>
        </row>
        <row r="232">
          <cell r="A232" t="str">
            <v>A231</v>
          </cell>
          <cell r="B232" t="str">
            <v>"244300 - Matériel bureautique - OHADA"</v>
          </cell>
          <cell r="C232" t="str">
            <v>Matériel bureautique</v>
          </cell>
          <cell r="D232" t="str">
            <v>OHADA</v>
          </cell>
          <cell r="E232" t="str">
            <v>244000 - Matériel et mobilier - OHADA</v>
          </cell>
          <cell r="F232">
            <v>244300</v>
          </cell>
          <cell r="G232" t="str">
            <v>0</v>
          </cell>
          <cell r="H232" t="str">
            <v>Asset</v>
          </cell>
          <cell r="I232" t="str">
            <v>Balance Sheet</v>
          </cell>
          <cell r="J232" t="str">
            <v>XAF</v>
          </cell>
          <cell r="K232" t="str">
            <v>Matériel, mobilier et actifs biologiques</v>
          </cell>
        </row>
        <row r="233">
          <cell r="A233" t="str">
            <v>A232</v>
          </cell>
          <cell r="B233" t="str">
            <v>"244400 - Mobilier de bureau - OHADA"</v>
          </cell>
          <cell r="C233" t="str">
            <v>Mobilier de bureau</v>
          </cell>
          <cell r="D233" t="str">
            <v>OHADA</v>
          </cell>
          <cell r="E233" t="str">
            <v>244000 - Matériel et mobilier - OHADA</v>
          </cell>
          <cell r="F233">
            <v>244400</v>
          </cell>
          <cell r="G233" t="str">
            <v>0</v>
          </cell>
          <cell r="H233" t="str">
            <v>Asset</v>
          </cell>
          <cell r="I233" t="str">
            <v>Balance Sheet</v>
          </cell>
          <cell r="J233" t="str">
            <v>XAF</v>
          </cell>
          <cell r="K233" t="str">
            <v>Matériel, mobilier et actifs biologiques</v>
          </cell>
        </row>
        <row r="234">
          <cell r="A234" t="str">
            <v>A233</v>
          </cell>
          <cell r="B234" t="str">
            <v>"244500 - Matériel et mobilier immeubles de placement - OHADA"</v>
          </cell>
          <cell r="C234" t="str">
            <v>Matériel et mobilier immeubles de placement</v>
          </cell>
          <cell r="D234" t="str">
            <v>OHADA</v>
          </cell>
          <cell r="E234" t="str">
            <v>244000 - Matériel et mobilier - OHADA</v>
          </cell>
          <cell r="F234">
            <v>244500</v>
          </cell>
          <cell r="G234" t="str">
            <v>0</v>
          </cell>
          <cell r="H234" t="str">
            <v>Asset</v>
          </cell>
          <cell r="I234" t="str">
            <v>Balance Sheet</v>
          </cell>
          <cell r="J234" t="str">
            <v>XAF</v>
          </cell>
          <cell r="K234" t="str">
            <v>Matériel, mobilier et actifs biologiques</v>
          </cell>
        </row>
        <row r="235">
          <cell r="A235" t="str">
            <v>A234</v>
          </cell>
          <cell r="B235" t="str">
            <v>"244600 - Matériel et mobilier de location acquisition - OHADA"</v>
          </cell>
          <cell r="C235" t="str">
            <v>Matériel et mobilier de location acquisition</v>
          </cell>
          <cell r="D235" t="str">
            <v>OHADA</v>
          </cell>
          <cell r="E235" t="str">
            <v>244000 - Matériel et mobilier - OHADA</v>
          </cell>
          <cell r="F235">
            <v>244600</v>
          </cell>
          <cell r="G235" t="str">
            <v>0</v>
          </cell>
          <cell r="H235" t="str">
            <v>Asset</v>
          </cell>
          <cell r="I235" t="str">
            <v>Balance Sheet</v>
          </cell>
          <cell r="J235" t="str">
            <v>XAF</v>
          </cell>
          <cell r="K235" t="str">
            <v>Matériel, mobilier et actifs biologiques</v>
          </cell>
        </row>
        <row r="236">
          <cell r="A236" t="str">
            <v>A235</v>
          </cell>
          <cell r="B236" t="str">
            <v>"244700 - Matériel et mobilier des logements du personnel - OHADA"</v>
          </cell>
          <cell r="C236" t="str">
            <v>Matériel et mobilier des logements du personnel</v>
          </cell>
          <cell r="D236" t="str">
            <v>OHADA</v>
          </cell>
          <cell r="E236" t="str">
            <v>244000 - Matériel et mobilier - OHADA</v>
          </cell>
          <cell r="F236">
            <v>244700</v>
          </cell>
          <cell r="G236" t="str">
            <v>0</v>
          </cell>
          <cell r="H236" t="str">
            <v>Asset</v>
          </cell>
          <cell r="I236" t="str">
            <v>Balance Sheet</v>
          </cell>
          <cell r="J236" t="str">
            <v>XAF</v>
          </cell>
          <cell r="K236" t="str">
            <v>Matériel, mobilier et actifs biologiques</v>
          </cell>
        </row>
        <row r="237">
          <cell r="A237" t="str">
            <v>A236</v>
          </cell>
          <cell r="B237" t="str">
            <v>"245000 - Matériel de transport - OHADA"</v>
          </cell>
          <cell r="C237" t="str">
            <v>Matériel de transport</v>
          </cell>
          <cell r="D237" t="str">
            <v>OHADA</v>
          </cell>
          <cell r="E237" t="str">
            <v>240000 - Matériel, mobilier et actifs biologiques - OHADA</v>
          </cell>
          <cell r="F237">
            <v>245000</v>
          </cell>
          <cell r="G237" t="str">
            <v>1</v>
          </cell>
          <cell r="H237" t="str">
            <v>Asset</v>
          </cell>
          <cell r="I237" t="str">
            <v>Balance Sheet</v>
          </cell>
          <cell r="J237" t="str">
            <v>XAF</v>
          </cell>
          <cell r="K237" t="str">
            <v>Matériel de transport</v>
          </cell>
        </row>
        <row r="238">
          <cell r="A238" t="str">
            <v>A237</v>
          </cell>
          <cell r="B238" t="str">
            <v>"245100 - Matériel automobile - OHADA"</v>
          </cell>
          <cell r="C238" t="str">
            <v>Matériel automobile</v>
          </cell>
          <cell r="D238" t="str">
            <v>OHADA</v>
          </cell>
          <cell r="E238" t="str">
            <v>245000 - Matériel de transport - OHADA</v>
          </cell>
          <cell r="F238">
            <v>245100</v>
          </cell>
          <cell r="G238" t="str">
            <v>0</v>
          </cell>
          <cell r="H238" t="str">
            <v>Asset</v>
          </cell>
          <cell r="I238" t="str">
            <v>Balance Sheet</v>
          </cell>
          <cell r="J238" t="str">
            <v>XAF</v>
          </cell>
          <cell r="K238" t="str">
            <v>Matériel, mobilier et actifs biologiques</v>
          </cell>
        </row>
        <row r="239">
          <cell r="A239" t="str">
            <v>A238</v>
          </cell>
          <cell r="B239" t="str">
            <v>"245200 - Matériel ferroviaire - OHADA"</v>
          </cell>
          <cell r="C239" t="str">
            <v>Matériel ferroviaire</v>
          </cell>
          <cell r="D239" t="str">
            <v>OHADA</v>
          </cell>
          <cell r="E239" t="str">
            <v>245000 - Matériel de transport - OHADA</v>
          </cell>
          <cell r="F239">
            <v>245200</v>
          </cell>
          <cell r="G239" t="str">
            <v>0</v>
          </cell>
          <cell r="H239" t="str">
            <v>Asset</v>
          </cell>
          <cell r="I239" t="str">
            <v>Balance Sheet</v>
          </cell>
          <cell r="J239" t="str">
            <v>XAF</v>
          </cell>
          <cell r="K239" t="str">
            <v>Matériel, mobilier et actifs biologiques</v>
          </cell>
        </row>
        <row r="240">
          <cell r="A240" t="str">
            <v>A239</v>
          </cell>
          <cell r="B240" t="str">
            <v>"245300 - Matériel fluvial, lagunaire - OHADA"</v>
          </cell>
          <cell r="C240" t="str">
            <v>Matériel fluvial, lagunaire</v>
          </cell>
          <cell r="D240" t="str">
            <v>OHADA</v>
          </cell>
          <cell r="E240" t="str">
            <v>245000 - Matériel de transport - OHADA</v>
          </cell>
          <cell r="F240">
            <v>245300</v>
          </cell>
          <cell r="G240" t="str">
            <v>0</v>
          </cell>
          <cell r="H240" t="str">
            <v>Asset</v>
          </cell>
          <cell r="I240" t="str">
            <v>Balance Sheet</v>
          </cell>
          <cell r="J240" t="str">
            <v>XAF</v>
          </cell>
          <cell r="K240" t="str">
            <v>Matériel, mobilier et actifs biologiques</v>
          </cell>
        </row>
        <row r="241">
          <cell r="A241" t="str">
            <v>A240</v>
          </cell>
          <cell r="B241" t="str">
            <v>"245400 - Matériel naval - OHADA"</v>
          </cell>
          <cell r="C241" t="str">
            <v>Matériel naval</v>
          </cell>
          <cell r="D241" t="str">
            <v>OHADA</v>
          </cell>
          <cell r="E241" t="str">
            <v>245000 - Matériel de transport - OHADA</v>
          </cell>
          <cell r="F241">
            <v>245400</v>
          </cell>
          <cell r="G241" t="str">
            <v>0</v>
          </cell>
          <cell r="H241" t="str">
            <v>Asset</v>
          </cell>
          <cell r="I241" t="str">
            <v>Balance Sheet</v>
          </cell>
          <cell r="J241" t="str">
            <v>XAF</v>
          </cell>
          <cell r="K241" t="str">
            <v>Matériel, mobilier et actifs biologiques</v>
          </cell>
        </row>
        <row r="242">
          <cell r="A242" t="str">
            <v>A241</v>
          </cell>
          <cell r="B242" t="str">
            <v>"245500 - Matériel aérien - OHADA"</v>
          </cell>
          <cell r="C242" t="str">
            <v>Matériel aérien</v>
          </cell>
          <cell r="D242" t="str">
            <v>OHADA</v>
          </cell>
          <cell r="E242" t="str">
            <v>245000 - Matériel de transport - OHADA</v>
          </cell>
          <cell r="F242">
            <v>245500</v>
          </cell>
          <cell r="G242" t="str">
            <v>0</v>
          </cell>
          <cell r="H242" t="str">
            <v>Asset</v>
          </cell>
          <cell r="I242" t="str">
            <v>Balance Sheet</v>
          </cell>
          <cell r="J242" t="str">
            <v>XAF</v>
          </cell>
          <cell r="K242" t="str">
            <v>Matériel, mobilier et actifs biologiques</v>
          </cell>
        </row>
        <row r="243">
          <cell r="A243" t="str">
            <v>A242</v>
          </cell>
          <cell r="B243" t="str">
            <v>"245600 - Matériel de transport de location - acquisition - OHADA"</v>
          </cell>
          <cell r="C243" t="str">
            <v>Matériel de transport de location-acquisition</v>
          </cell>
          <cell r="D243" t="str">
            <v>OHADA</v>
          </cell>
          <cell r="E243" t="str">
            <v>245000 - Matériel de transport - OHADA</v>
          </cell>
          <cell r="F243">
            <v>245600</v>
          </cell>
          <cell r="G243" t="str">
            <v>0</v>
          </cell>
          <cell r="H243" t="str">
            <v>Asset</v>
          </cell>
          <cell r="I243" t="str">
            <v>Balance Sheet</v>
          </cell>
          <cell r="J243" t="str">
            <v>XAF</v>
          </cell>
          <cell r="K243" t="str">
            <v>Matériel, mobilier et actifs biologiques</v>
          </cell>
        </row>
        <row r="244">
          <cell r="A244" t="str">
            <v>A243</v>
          </cell>
          <cell r="B244" t="str">
            <v>"245700 - Matériel hippomobile - OHADA"</v>
          </cell>
          <cell r="C244" t="str">
            <v>Matériel hippomobile</v>
          </cell>
          <cell r="D244" t="str">
            <v>OHADA</v>
          </cell>
          <cell r="E244" t="str">
            <v>245000 - Matériel de transport - OHADA</v>
          </cell>
          <cell r="F244">
            <v>245700</v>
          </cell>
          <cell r="G244" t="str">
            <v>0</v>
          </cell>
          <cell r="H244" t="str">
            <v>Asset</v>
          </cell>
          <cell r="I244" t="str">
            <v>Balance Sheet</v>
          </cell>
          <cell r="J244" t="str">
            <v>XAF</v>
          </cell>
          <cell r="K244" t="str">
            <v>Matériel, mobilier et actifs biologiques</v>
          </cell>
        </row>
        <row r="245">
          <cell r="A245" t="str">
            <v>A244</v>
          </cell>
          <cell r="B245" t="str">
            <v>"245800 - Autres matériels de transport - OHADA"</v>
          </cell>
          <cell r="C245" t="str">
            <v>Autres matériels de transport</v>
          </cell>
          <cell r="D245" t="str">
            <v>OHADA</v>
          </cell>
          <cell r="E245" t="str">
            <v>245000 - Matériel de transport - OHADA</v>
          </cell>
          <cell r="F245">
            <v>245800</v>
          </cell>
          <cell r="G245" t="str">
            <v>0</v>
          </cell>
          <cell r="H245" t="str">
            <v>Asset</v>
          </cell>
          <cell r="I245" t="str">
            <v>Balance Sheet</v>
          </cell>
          <cell r="J245" t="str">
            <v>XAF</v>
          </cell>
          <cell r="K245" t="str">
            <v>Matériel, mobilier et actifs biologiques</v>
          </cell>
        </row>
        <row r="246">
          <cell r="A246" t="str">
            <v>A245</v>
          </cell>
          <cell r="B246" t="str">
            <v>"246000 - Actifs biologiques - OHADA"</v>
          </cell>
          <cell r="C246" t="str">
            <v>Actifs biologiques</v>
          </cell>
          <cell r="D246" t="str">
            <v>OHADA</v>
          </cell>
          <cell r="E246" t="str">
            <v>240000 - Matériel, mobilier et actifs biologiques - OHADA</v>
          </cell>
          <cell r="F246">
            <v>246000</v>
          </cell>
          <cell r="G246" t="str">
            <v>1</v>
          </cell>
          <cell r="H246" t="str">
            <v>Asset</v>
          </cell>
          <cell r="I246" t="str">
            <v>Balance Sheet</v>
          </cell>
          <cell r="J246" t="str">
            <v>XAF</v>
          </cell>
          <cell r="K246" t="str">
            <v>Matériel, mobilier et actifs biologiques</v>
          </cell>
        </row>
        <row r="247">
          <cell r="A247" t="str">
            <v>A246</v>
          </cell>
          <cell r="B247" t="str">
            <v>"246100 - Cheptel, animaux de trait - OHADA"</v>
          </cell>
          <cell r="C247" t="str">
            <v>Cheptel, animaux de trait</v>
          </cell>
          <cell r="D247" t="str">
            <v>OHADA</v>
          </cell>
          <cell r="E247" t="str">
            <v>246000 - Actifs biologiques - OHADA</v>
          </cell>
          <cell r="F247">
            <v>246100</v>
          </cell>
          <cell r="G247" t="str">
            <v>0</v>
          </cell>
          <cell r="H247" t="str">
            <v>Asset</v>
          </cell>
          <cell r="I247" t="str">
            <v>Balance Sheet</v>
          </cell>
          <cell r="J247" t="str">
            <v>XAF</v>
          </cell>
          <cell r="K247" t="str">
            <v>Matériel, mobilier et actifs biologiques</v>
          </cell>
        </row>
        <row r="248">
          <cell r="A248" t="str">
            <v>A247</v>
          </cell>
          <cell r="B248" t="str">
            <v>"246200 - Cheptel, animaux reproducteurs - OHADA"</v>
          </cell>
          <cell r="C248" t="str">
            <v>Cheptel, animaux reproducteurs</v>
          </cell>
          <cell r="D248" t="str">
            <v>OHADA</v>
          </cell>
          <cell r="E248" t="str">
            <v>246000 - Actifs biologiques - OHADA</v>
          </cell>
          <cell r="F248">
            <v>246200</v>
          </cell>
          <cell r="G248" t="str">
            <v>0</v>
          </cell>
          <cell r="H248" t="str">
            <v>Asset</v>
          </cell>
          <cell r="I248" t="str">
            <v>Balance Sheet</v>
          </cell>
          <cell r="J248" t="str">
            <v>XAF</v>
          </cell>
          <cell r="K248" t="str">
            <v>Matériel, mobilier et actifs biologiques</v>
          </cell>
        </row>
        <row r="249">
          <cell r="A249" t="str">
            <v>A248</v>
          </cell>
          <cell r="B249" t="str">
            <v>"246300 - Animaux de garde - OHADA"</v>
          </cell>
          <cell r="C249" t="str">
            <v>Animaux de garde</v>
          </cell>
          <cell r="D249" t="str">
            <v>OHADA</v>
          </cell>
          <cell r="E249" t="str">
            <v>246000 - Actifs biologiques - OHADA</v>
          </cell>
          <cell r="F249">
            <v>246300</v>
          </cell>
          <cell r="G249" t="str">
            <v>0</v>
          </cell>
          <cell r="H249" t="str">
            <v>Asset</v>
          </cell>
          <cell r="I249" t="str">
            <v>Balance Sheet</v>
          </cell>
          <cell r="J249" t="str">
            <v>XAF</v>
          </cell>
          <cell r="K249" t="str">
            <v>Matériel, mobilier et actifs biologiques</v>
          </cell>
        </row>
        <row r="250">
          <cell r="A250" t="str">
            <v>A249</v>
          </cell>
          <cell r="B250" t="str">
            <v>"246500 - Plantations agricoles - OHADA"</v>
          </cell>
          <cell r="C250" t="str">
            <v>Plantations agricoles</v>
          </cell>
          <cell r="D250" t="str">
            <v>OHADA</v>
          </cell>
          <cell r="E250" t="str">
            <v>246000 - Actifs biologiques - OHADA</v>
          </cell>
          <cell r="F250">
            <v>246500</v>
          </cell>
          <cell r="G250" t="str">
            <v>0</v>
          </cell>
          <cell r="H250" t="str">
            <v>Asset</v>
          </cell>
          <cell r="I250" t="str">
            <v>Balance Sheet</v>
          </cell>
          <cell r="J250" t="str">
            <v>XAF</v>
          </cell>
          <cell r="K250" t="str">
            <v>Matériel, mobilier et actifs biologiques</v>
          </cell>
        </row>
        <row r="251">
          <cell r="A251" t="str">
            <v>A250</v>
          </cell>
          <cell r="B251" t="str">
            <v>"246800 - Autres actifs biologiques - OHADA"</v>
          </cell>
          <cell r="C251" t="str">
            <v>Autres actifs biologiques</v>
          </cell>
          <cell r="D251" t="str">
            <v>OHADA</v>
          </cell>
          <cell r="E251" t="str">
            <v>246000 - Actifs biologiques - OHADA</v>
          </cell>
          <cell r="F251">
            <v>246800</v>
          </cell>
          <cell r="G251" t="str">
            <v>0</v>
          </cell>
          <cell r="H251" t="str">
            <v>Asset</v>
          </cell>
          <cell r="I251" t="str">
            <v>Balance Sheet</v>
          </cell>
          <cell r="J251" t="str">
            <v>XAF</v>
          </cell>
          <cell r="K251" t="str">
            <v>Matériel, mobilier et actifs biologiques</v>
          </cell>
        </row>
        <row r="252">
          <cell r="A252" t="str">
            <v>A251</v>
          </cell>
          <cell r="B252" t="str">
            <v>"247000 - Agencements, aménagements du matériel et actifs biologiques - OHADA"</v>
          </cell>
          <cell r="C252" t="str">
            <v>Agencements, aménagements du matériel et actifs biologiques</v>
          </cell>
          <cell r="D252" t="str">
            <v>OHADA</v>
          </cell>
          <cell r="E252" t="str">
            <v>240000 - Matériel, mobilier et actifs biologiques - OHADA</v>
          </cell>
          <cell r="F252">
            <v>247000</v>
          </cell>
          <cell r="G252" t="str">
            <v>1</v>
          </cell>
          <cell r="H252" t="str">
            <v>Asset</v>
          </cell>
          <cell r="I252" t="str">
            <v>Balance Sheet</v>
          </cell>
          <cell r="J252" t="str">
            <v>XAF</v>
          </cell>
          <cell r="K252" t="str">
            <v>Matériel, mobilier et actifs biologiques</v>
          </cell>
        </row>
        <row r="253">
          <cell r="A253" t="str">
            <v>A252</v>
          </cell>
          <cell r="B253" t="str">
            <v>"247100 - Agencements et aménagements du matériel - OHADA"</v>
          </cell>
          <cell r="C253" t="str">
            <v>Agencements et aménagements du matériel</v>
          </cell>
          <cell r="D253" t="str">
            <v>OHADA</v>
          </cell>
          <cell r="E253" t="str">
            <v>247000 - Agencements, aménagements du matériel et actifs biologiques - OHADA</v>
          </cell>
          <cell r="F253">
            <v>247100</v>
          </cell>
          <cell r="G253" t="str">
            <v>0</v>
          </cell>
          <cell r="H253" t="str">
            <v>Asset</v>
          </cell>
          <cell r="I253" t="str">
            <v>Balance Sheet</v>
          </cell>
          <cell r="J253" t="str">
            <v>XAF</v>
          </cell>
          <cell r="K253" t="str">
            <v>Matériel, mobilier et actifs biologiques</v>
          </cell>
        </row>
        <row r="254">
          <cell r="A254" t="str">
            <v>A253</v>
          </cell>
          <cell r="B254" t="str">
            <v>"247200 - Agencements et aménagements des actifs biologiques - OHADA"</v>
          </cell>
          <cell r="C254" t="str">
            <v>Agencements et aménagements des actifs biologiques</v>
          </cell>
          <cell r="D254" t="str">
            <v>OHADA</v>
          </cell>
          <cell r="E254" t="str">
            <v>247000 - Agencements, aménagements du matériel et actifs biologiques - OHADA</v>
          </cell>
          <cell r="F254">
            <v>247200</v>
          </cell>
          <cell r="G254" t="str">
            <v>0</v>
          </cell>
          <cell r="H254" t="str">
            <v>Asset</v>
          </cell>
          <cell r="I254" t="str">
            <v>Balance Sheet</v>
          </cell>
          <cell r="J254" t="str">
            <v>XAF</v>
          </cell>
          <cell r="K254" t="str">
            <v>Matériel, mobilier et actifs biologiques</v>
          </cell>
        </row>
        <row r="255">
          <cell r="A255" t="str">
            <v>A254</v>
          </cell>
          <cell r="B255" t="str">
            <v>"247800 - Autres agencements, aménagements du matériel et actifs biologiques - OHADA"</v>
          </cell>
          <cell r="C255" t="str">
            <v>Autres agencements, aménagements du matériel et actifs biologiques</v>
          </cell>
          <cell r="D255" t="str">
            <v>OHADA</v>
          </cell>
          <cell r="E255" t="str">
            <v>247000 - Agencements, aménagements du matériel et actifs biologiques - OHADA</v>
          </cell>
          <cell r="F255">
            <v>247800</v>
          </cell>
          <cell r="G255" t="str">
            <v>0</v>
          </cell>
          <cell r="H255" t="str">
            <v>Asset</v>
          </cell>
          <cell r="I255" t="str">
            <v>Balance Sheet</v>
          </cell>
          <cell r="J255" t="str">
            <v>XAF</v>
          </cell>
          <cell r="K255" t="str">
            <v>Matériel, mobilier et actifs biologiques</v>
          </cell>
        </row>
        <row r="256">
          <cell r="A256" t="str">
            <v>A255</v>
          </cell>
          <cell r="B256" t="str">
            <v>"248000 - Autres matériels et mobiliers - OHADA"</v>
          </cell>
          <cell r="C256" t="str">
            <v>Autres matériels et mobiliers</v>
          </cell>
          <cell r="D256" t="str">
            <v>OHADA</v>
          </cell>
          <cell r="E256" t="str">
            <v>240000 - Matériel, mobilier et actifs biologiques - OHADA</v>
          </cell>
          <cell r="F256">
            <v>248000</v>
          </cell>
          <cell r="G256" t="str">
            <v>1</v>
          </cell>
          <cell r="H256" t="str">
            <v>Asset</v>
          </cell>
          <cell r="I256" t="str">
            <v>Balance Sheet</v>
          </cell>
          <cell r="J256" t="str">
            <v>XAF</v>
          </cell>
          <cell r="K256" t="str">
            <v>Matériel, mobilier et actifs biologiques</v>
          </cell>
        </row>
        <row r="257">
          <cell r="A257" t="str">
            <v>A256</v>
          </cell>
          <cell r="B257" t="str">
            <v>"248100 - Collections et œuvres d’art - OHADA"</v>
          </cell>
          <cell r="C257" t="str">
            <v>Collections et œuvres d’art</v>
          </cell>
          <cell r="D257" t="str">
            <v>OHADA</v>
          </cell>
          <cell r="E257" t="str">
            <v>248000 - Autres matériels et mobiliers - OHADA</v>
          </cell>
          <cell r="F257">
            <v>248100</v>
          </cell>
          <cell r="G257" t="str">
            <v>0</v>
          </cell>
          <cell r="H257" t="str">
            <v>Asset</v>
          </cell>
          <cell r="I257" t="str">
            <v>Balance Sheet</v>
          </cell>
          <cell r="J257" t="str">
            <v>XAF</v>
          </cell>
          <cell r="K257" t="str">
            <v>Matériel, mobilier et actifs biologiques</v>
          </cell>
        </row>
        <row r="258">
          <cell r="A258" t="str">
            <v>A257</v>
          </cell>
          <cell r="B258" t="str">
            <v>"248800 - Divers matériels mobiliers - OHADA"</v>
          </cell>
          <cell r="C258" t="str">
            <v>Divers matériels mobiliers</v>
          </cell>
          <cell r="D258" t="str">
            <v>OHADA</v>
          </cell>
          <cell r="E258" t="str">
            <v>248000 - Autres matériels et mobiliers - OHADA</v>
          </cell>
          <cell r="F258">
            <v>248800</v>
          </cell>
          <cell r="G258" t="str">
            <v>0</v>
          </cell>
          <cell r="H258" t="str">
            <v>Asset</v>
          </cell>
          <cell r="I258" t="str">
            <v>Balance Sheet</v>
          </cell>
          <cell r="J258" t="str">
            <v>XAF</v>
          </cell>
          <cell r="K258" t="str">
            <v>Matériel, mobilier et actifs biologiques</v>
          </cell>
        </row>
        <row r="259">
          <cell r="A259" t="str">
            <v>A258</v>
          </cell>
          <cell r="B259" t="str">
            <v>"249000 - Matériels et actifs biologiques en cours - OHADA"</v>
          </cell>
          <cell r="C259" t="str">
            <v>Matériels et actifs biologiques en cours</v>
          </cell>
          <cell r="D259" t="str">
            <v>OHADA</v>
          </cell>
          <cell r="E259" t="str">
            <v>240000 - Matériel, mobilier et actifs biologiques - OHADA</v>
          </cell>
          <cell r="F259">
            <v>249000</v>
          </cell>
          <cell r="G259" t="str">
            <v>1</v>
          </cell>
          <cell r="H259" t="str">
            <v>Asset</v>
          </cell>
          <cell r="I259" t="str">
            <v>Balance Sheet</v>
          </cell>
          <cell r="J259" t="str">
            <v>XAF</v>
          </cell>
          <cell r="K259" t="str">
            <v>Matériel, mobilier et actifs biologiques</v>
          </cell>
        </row>
        <row r="260">
          <cell r="A260" t="str">
            <v>A259</v>
          </cell>
          <cell r="B260" t="str">
            <v>"249100 - Matériel et outillage industriel et commercial - OHADA"</v>
          </cell>
          <cell r="C260" t="str">
            <v>Matériel et outillage industriel et commercial</v>
          </cell>
          <cell r="D260" t="str">
            <v>OHADA</v>
          </cell>
          <cell r="E260" t="str">
            <v>249000 - Matériels et actifs biologiques en cours - OHADA</v>
          </cell>
          <cell r="F260">
            <v>249100</v>
          </cell>
          <cell r="G260" t="str">
            <v>0</v>
          </cell>
          <cell r="H260" t="str">
            <v>Asset</v>
          </cell>
          <cell r="I260" t="str">
            <v>Balance Sheet</v>
          </cell>
          <cell r="J260" t="str">
            <v>XAF</v>
          </cell>
          <cell r="K260" t="str">
            <v>Matériel, mobilier et actifs biologiques</v>
          </cell>
        </row>
        <row r="261">
          <cell r="A261" t="str">
            <v>A260</v>
          </cell>
          <cell r="B261" t="str">
            <v>"249200 - Matériel et outillage agricole - OHADA"</v>
          </cell>
          <cell r="C261" t="str">
            <v>Matériel et outillage agricole</v>
          </cell>
          <cell r="D261" t="str">
            <v>OHADA</v>
          </cell>
          <cell r="E261" t="str">
            <v>249000 - Matériels et actifs biologiques en cours - OHADA</v>
          </cell>
          <cell r="F261">
            <v>249200</v>
          </cell>
          <cell r="G261" t="str">
            <v>0</v>
          </cell>
          <cell r="H261" t="str">
            <v>Asset</v>
          </cell>
          <cell r="I261" t="str">
            <v>Balance Sheet</v>
          </cell>
          <cell r="J261" t="str">
            <v>XAF</v>
          </cell>
          <cell r="K261" t="str">
            <v>Matériel, mobilier et actifs biologiques</v>
          </cell>
        </row>
        <row r="262">
          <cell r="A262" t="str">
            <v>A261</v>
          </cell>
          <cell r="B262" t="str">
            <v>"249300 - Matériel d’emballage récupérable et identifiable - OHADA"</v>
          </cell>
          <cell r="C262" t="str">
            <v>Matériel d’emballage récupérable et identifiable</v>
          </cell>
          <cell r="D262" t="str">
            <v>OHADA</v>
          </cell>
          <cell r="E262" t="str">
            <v>249000 - Matériels et actifs biologiques en cours - OHADA</v>
          </cell>
          <cell r="F262">
            <v>249300</v>
          </cell>
          <cell r="G262" t="str">
            <v>0</v>
          </cell>
          <cell r="H262" t="str">
            <v>Asset</v>
          </cell>
          <cell r="I262" t="str">
            <v>Balance Sheet</v>
          </cell>
          <cell r="J262" t="str">
            <v>XAF</v>
          </cell>
          <cell r="K262" t="str">
            <v>Matériel, mobilier et actifs biologiques</v>
          </cell>
        </row>
        <row r="263">
          <cell r="A263" t="str">
            <v>A262</v>
          </cell>
          <cell r="B263" t="str">
            <v>"249400 - Matériel et mobilier de bureau - OHADA"</v>
          </cell>
          <cell r="C263" t="str">
            <v>Matériel et mobilier de bureau</v>
          </cell>
          <cell r="D263" t="str">
            <v>OHADA</v>
          </cell>
          <cell r="E263" t="str">
            <v>249000 - Matériels et actifs biologiques en cours - OHADA</v>
          </cell>
          <cell r="F263">
            <v>249400</v>
          </cell>
          <cell r="G263" t="str">
            <v>0</v>
          </cell>
          <cell r="H263" t="str">
            <v>Asset</v>
          </cell>
          <cell r="I263" t="str">
            <v>Balance Sheet</v>
          </cell>
          <cell r="J263" t="str">
            <v>XAF</v>
          </cell>
          <cell r="K263" t="str">
            <v>Matériel, mobilier et actifs biologiques</v>
          </cell>
        </row>
        <row r="264">
          <cell r="A264" t="str">
            <v>A263</v>
          </cell>
          <cell r="B264" t="str">
            <v>"249500 - Matériel de transport - OHADA"</v>
          </cell>
          <cell r="C264" t="str">
            <v>Matériel de transport</v>
          </cell>
          <cell r="D264" t="str">
            <v>OHADA</v>
          </cell>
          <cell r="E264" t="str">
            <v>249000 - Matériels et actifs biologiques en cours - OHADA</v>
          </cell>
          <cell r="F264">
            <v>249500</v>
          </cell>
          <cell r="G264" t="str">
            <v>0</v>
          </cell>
          <cell r="H264" t="str">
            <v>Asset</v>
          </cell>
          <cell r="I264" t="str">
            <v>Balance Sheet</v>
          </cell>
          <cell r="J264" t="str">
            <v>XAF</v>
          </cell>
          <cell r="K264" t="str">
            <v>Matériel de transport</v>
          </cell>
        </row>
        <row r="265">
          <cell r="A265" t="str">
            <v>A264</v>
          </cell>
          <cell r="B265" t="str">
            <v>"249600 - Actifs biologiques - OHADA"</v>
          </cell>
          <cell r="C265" t="str">
            <v>Actifs biologiques</v>
          </cell>
          <cell r="D265" t="str">
            <v>OHADA</v>
          </cell>
          <cell r="E265" t="str">
            <v>249000 - Matériels et actifs biologiques en cours - OHADA</v>
          </cell>
          <cell r="F265">
            <v>249600</v>
          </cell>
          <cell r="G265" t="str">
            <v>0</v>
          </cell>
          <cell r="H265" t="str">
            <v>Asset</v>
          </cell>
          <cell r="I265" t="str">
            <v>Balance Sheet</v>
          </cell>
          <cell r="J265" t="str">
            <v>XAF</v>
          </cell>
          <cell r="K265" t="str">
            <v>Matériel, mobilier et actifs biologiques</v>
          </cell>
        </row>
        <row r="266">
          <cell r="A266" t="str">
            <v>A265</v>
          </cell>
          <cell r="B266" t="str">
            <v>"249700 - Agencements aménagements du matériel et actifs biologiques - OHADA"</v>
          </cell>
          <cell r="C266" t="str">
            <v>Agencements aménagements du matériel et actifs biologiques</v>
          </cell>
          <cell r="D266" t="str">
            <v>OHADA</v>
          </cell>
          <cell r="E266" t="str">
            <v>249000 - Matériels et actifs biologiques en cours - OHADA</v>
          </cell>
          <cell r="F266">
            <v>249700</v>
          </cell>
          <cell r="G266" t="str">
            <v>0</v>
          </cell>
          <cell r="H266" t="str">
            <v>Asset</v>
          </cell>
          <cell r="I266" t="str">
            <v>Balance Sheet</v>
          </cell>
          <cell r="J266" t="str">
            <v>XAF</v>
          </cell>
          <cell r="K266" t="str">
            <v>Matériel, mobilier et actifs biologiques</v>
          </cell>
        </row>
        <row r="267">
          <cell r="A267" t="str">
            <v>A266</v>
          </cell>
          <cell r="B267" t="str">
            <v>"249800 - Autres matériels et actifs biologiques en cours - OHADA"</v>
          </cell>
          <cell r="C267" t="str">
            <v>Autres matériels et actifs biologiques en cours</v>
          </cell>
          <cell r="D267" t="str">
            <v>OHADA</v>
          </cell>
          <cell r="E267" t="str">
            <v>249000 - Matériels et actifs biologiques en cours - OHADA</v>
          </cell>
          <cell r="F267">
            <v>249800</v>
          </cell>
          <cell r="G267" t="str">
            <v>0</v>
          </cell>
          <cell r="H267" t="str">
            <v>Asset</v>
          </cell>
          <cell r="I267" t="str">
            <v>Balance Sheet</v>
          </cell>
          <cell r="J267" t="str">
            <v>XAF</v>
          </cell>
          <cell r="K267" t="str">
            <v>Matériel, mobilier et actifs biologiques</v>
          </cell>
        </row>
        <row r="268">
          <cell r="A268" t="str">
            <v>A267</v>
          </cell>
          <cell r="B268" t="str">
            <v>"250000 - Avances et acomptes versés sur immobilisations - OHADA"</v>
          </cell>
          <cell r="C268" t="str">
            <v>Avances et acomptes versés sur immobilisations</v>
          </cell>
          <cell r="D268" t="str">
            <v>OHADA</v>
          </cell>
          <cell r="E268" t="str">
            <v>2 - Comptes d’actif immobilisé - OHADA</v>
          </cell>
          <cell r="F268">
            <v>250000</v>
          </cell>
          <cell r="G268" t="str">
            <v>1</v>
          </cell>
          <cell r="H268" t="str">
            <v>Asset</v>
          </cell>
          <cell r="I268" t="str">
            <v>Balance Sheet</v>
          </cell>
          <cell r="J268" t="str">
            <v>XAF</v>
          </cell>
          <cell r="K268" t="str">
            <v>Avances et acomptes versés sur immobilisations</v>
          </cell>
        </row>
        <row r="269">
          <cell r="A269" t="str">
            <v>A268</v>
          </cell>
          <cell r="B269" t="str">
            <v>"251000 - Avances et acomptes versés sur immobilisations incorporelles - OHADA"</v>
          </cell>
          <cell r="C269" t="str">
            <v>Avances et acomptes versés sur immobilisations incorporelles</v>
          </cell>
          <cell r="D269" t="str">
            <v>OHADA</v>
          </cell>
          <cell r="E269" t="str">
            <v>250000 - Avances et acomptes versés sur immobilisations - OHADA</v>
          </cell>
          <cell r="F269">
            <v>251000</v>
          </cell>
          <cell r="G269" t="str">
            <v>0</v>
          </cell>
          <cell r="H269" t="str">
            <v>Asset</v>
          </cell>
          <cell r="I269" t="str">
            <v>Balance Sheet</v>
          </cell>
          <cell r="J269" t="str">
            <v>XAF</v>
          </cell>
          <cell r="K269" t="str">
            <v>Avances et acomptes versés sur immobilisations</v>
          </cell>
        </row>
        <row r="270">
          <cell r="A270" t="str">
            <v>A269</v>
          </cell>
          <cell r="B270" t="str">
            <v>"252000 - Avances et acomptes versés sur immobilisations corporelles - OHADA"</v>
          </cell>
          <cell r="C270" t="str">
            <v>Avances et acomptes versés sur immobilisations corporelles</v>
          </cell>
          <cell r="D270" t="str">
            <v>OHADA</v>
          </cell>
          <cell r="E270" t="str">
            <v>250000 - Avances et acomptes versés sur immobilisations - OHADA</v>
          </cell>
          <cell r="F270">
            <v>252000</v>
          </cell>
          <cell r="G270" t="str">
            <v>0</v>
          </cell>
          <cell r="H270" t="str">
            <v>Asset</v>
          </cell>
          <cell r="I270" t="str">
            <v>Balance Sheet</v>
          </cell>
          <cell r="J270" t="str">
            <v>XAF</v>
          </cell>
          <cell r="K270" t="str">
            <v>Avances et acomptes versés sur immobilisations</v>
          </cell>
        </row>
        <row r="271">
          <cell r="A271" t="str">
            <v>A270</v>
          </cell>
          <cell r="B271" t="str">
            <v>"260000 - Titres de participation - OHADA"</v>
          </cell>
          <cell r="C271" t="str">
            <v>Titres de participation</v>
          </cell>
          <cell r="D271" t="str">
            <v>OHADA</v>
          </cell>
          <cell r="E271" t="str">
            <v>2 - Comptes d’actif immobilisé - OHADA</v>
          </cell>
          <cell r="F271">
            <v>260000</v>
          </cell>
          <cell r="G271" t="str">
            <v>1</v>
          </cell>
          <cell r="H271" t="str">
            <v>Asset</v>
          </cell>
          <cell r="I271" t="str">
            <v>Balance Sheet</v>
          </cell>
          <cell r="J271" t="str">
            <v>XAF</v>
          </cell>
          <cell r="K271" t="str">
            <v>Titres de participation</v>
          </cell>
        </row>
        <row r="272">
          <cell r="A272" t="str">
            <v>A271</v>
          </cell>
          <cell r="B272" t="str">
            <v>"261000 - Titres de participation dans des sociétés sous contrôle exclusif - OHADA"</v>
          </cell>
          <cell r="C272" t="str">
            <v>Titres de participation dans des sociétés sous contrôle exclusif</v>
          </cell>
          <cell r="D272" t="str">
            <v>OHADA</v>
          </cell>
          <cell r="E272" t="str">
            <v>260000 - Titres de participation - OHADA</v>
          </cell>
          <cell r="F272">
            <v>261000</v>
          </cell>
          <cell r="G272" t="str">
            <v>0</v>
          </cell>
          <cell r="H272" t="str">
            <v>Asset</v>
          </cell>
          <cell r="I272" t="str">
            <v>Balance Sheet</v>
          </cell>
          <cell r="J272" t="str">
            <v>XAF</v>
          </cell>
          <cell r="K272" t="str">
            <v>Titres de participation</v>
          </cell>
        </row>
        <row r="273">
          <cell r="A273" t="str">
            <v>A272</v>
          </cell>
          <cell r="B273" t="str">
            <v>"262000 - Titres de participation dans des sociétés sous contrôle conjoint - OHADA"</v>
          </cell>
          <cell r="C273" t="str">
            <v>Titres de participation dans des sociétés sous contrôle conjoint</v>
          </cell>
          <cell r="D273" t="str">
            <v>OHADA</v>
          </cell>
          <cell r="E273" t="str">
            <v>260000 - Titres de participation - OHADA</v>
          </cell>
          <cell r="F273">
            <v>262000</v>
          </cell>
          <cell r="G273" t="str">
            <v>0</v>
          </cell>
          <cell r="H273" t="str">
            <v>Asset</v>
          </cell>
          <cell r="I273" t="str">
            <v>Balance Sheet</v>
          </cell>
          <cell r="J273" t="str">
            <v>XAF</v>
          </cell>
          <cell r="K273" t="str">
            <v>Titres de participation</v>
          </cell>
        </row>
        <row r="274">
          <cell r="A274" t="str">
            <v>A273</v>
          </cell>
          <cell r="B274" t="str">
            <v>"263000 - Titres de participation dans des sociétés conférant une influence notable - OHADA"</v>
          </cell>
          <cell r="C274" t="str">
            <v>Titres de participation dans des sociétés conférant une influence notable</v>
          </cell>
          <cell r="D274" t="str">
            <v>OHADA</v>
          </cell>
          <cell r="E274" t="str">
            <v>260000 - Titres de participation - OHADA</v>
          </cell>
          <cell r="F274">
            <v>263000</v>
          </cell>
          <cell r="G274" t="str">
            <v>0</v>
          </cell>
          <cell r="H274" t="str">
            <v>Asset</v>
          </cell>
          <cell r="I274" t="str">
            <v>Balance Sheet</v>
          </cell>
          <cell r="J274" t="str">
            <v>XAF</v>
          </cell>
          <cell r="K274" t="str">
            <v>Titres de participation</v>
          </cell>
        </row>
        <row r="275">
          <cell r="A275" t="str">
            <v>A274</v>
          </cell>
          <cell r="B275" t="str">
            <v>"265000 - Participations dans des organismes professionnels - OHADA"</v>
          </cell>
          <cell r="C275" t="str">
            <v>Participations dans des organismes professionnels</v>
          </cell>
          <cell r="D275" t="str">
            <v>OHADA</v>
          </cell>
          <cell r="E275" t="str">
            <v>260000 - Titres de participation - OHADA</v>
          </cell>
          <cell r="F275">
            <v>265000</v>
          </cell>
          <cell r="G275" t="str">
            <v>0</v>
          </cell>
          <cell r="H275" t="str">
            <v>Asset</v>
          </cell>
          <cell r="I275" t="str">
            <v>Balance Sheet</v>
          </cell>
          <cell r="J275" t="str">
            <v>XAF</v>
          </cell>
          <cell r="K275" t="str">
            <v>Titres de participation</v>
          </cell>
        </row>
        <row r="276">
          <cell r="A276" t="str">
            <v>A275</v>
          </cell>
          <cell r="B276" t="str">
            <v>"266000 - Parts dans des groupements d’intérêt économique (GIE) - OHADA"</v>
          </cell>
          <cell r="C276" t="str">
            <v>Parts dans des groupements d’intérêt économique (GIE)</v>
          </cell>
          <cell r="D276" t="str">
            <v>OHADA</v>
          </cell>
          <cell r="E276" t="str">
            <v>260000 - Titres de participation - OHADA</v>
          </cell>
          <cell r="F276">
            <v>266000</v>
          </cell>
          <cell r="G276" t="str">
            <v>0</v>
          </cell>
          <cell r="H276" t="str">
            <v>Asset</v>
          </cell>
          <cell r="I276" t="str">
            <v>Balance Sheet</v>
          </cell>
          <cell r="J276" t="str">
            <v>XAF</v>
          </cell>
          <cell r="K276" t="str">
            <v>Titres de participation</v>
          </cell>
        </row>
        <row r="277">
          <cell r="A277" t="str">
            <v>A276</v>
          </cell>
          <cell r="B277" t="str">
            <v>"268000 - Autres titres de participation - OHADA"</v>
          </cell>
          <cell r="C277" t="str">
            <v>Autres titres de participation</v>
          </cell>
          <cell r="D277" t="str">
            <v>OHADA</v>
          </cell>
          <cell r="E277" t="str">
            <v>260000 - Titres de participation - OHADA</v>
          </cell>
          <cell r="F277">
            <v>268000</v>
          </cell>
          <cell r="G277" t="str">
            <v>0</v>
          </cell>
          <cell r="H277" t="str">
            <v>Asset</v>
          </cell>
          <cell r="I277" t="str">
            <v>Balance Sheet</v>
          </cell>
          <cell r="J277" t="str">
            <v>XAF</v>
          </cell>
          <cell r="K277" t="str">
            <v>Titres de participation</v>
          </cell>
        </row>
        <row r="278">
          <cell r="A278" t="str">
            <v>A277</v>
          </cell>
          <cell r="B278" t="str">
            <v>"270000 - Autres immobilisations financières - OHADA"</v>
          </cell>
          <cell r="C278" t="str">
            <v>Autres immobilisations financières</v>
          </cell>
          <cell r="D278" t="str">
            <v>OHADA</v>
          </cell>
          <cell r="E278" t="str">
            <v>2 - Comptes d’actif immobilisé - OHADA</v>
          </cell>
          <cell r="F278">
            <v>270000</v>
          </cell>
          <cell r="G278" t="str">
            <v>1</v>
          </cell>
          <cell r="H278" t="str">
            <v>Asset</v>
          </cell>
          <cell r="I278" t="str">
            <v>Balance Sheet</v>
          </cell>
          <cell r="J278" t="str">
            <v>XAF</v>
          </cell>
          <cell r="K278" t="str">
            <v>Autres immobilisations financières</v>
          </cell>
        </row>
        <row r="279">
          <cell r="A279" t="str">
            <v>A278</v>
          </cell>
          <cell r="B279" t="str">
            <v>"271000 - Prêts et créances - OHADA"</v>
          </cell>
          <cell r="C279" t="str">
            <v>Prêts et créances</v>
          </cell>
          <cell r="D279" t="str">
            <v>OHADA</v>
          </cell>
          <cell r="E279" t="str">
            <v>270000 - Autres immobilisations financières - OHADA</v>
          </cell>
          <cell r="F279">
            <v>271000</v>
          </cell>
          <cell r="G279" t="str">
            <v>1</v>
          </cell>
          <cell r="H279" t="str">
            <v>Asset</v>
          </cell>
          <cell r="I279" t="str">
            <v>Balance Sheet</v>
          </cell>
          <cell r="J279" t="str">
            <v>XAF</v>
          </cell>
          <cell r="K279" t="str">
            <v>Autres immobilisations financières</v>
          </cell>
        </row>
        <row r="280">
          <cell r="A280" t="str">
            <v>A279</v>
          </cell>
          <cell r="B280" t="str">
            <v>"271100 - Prêts participatifs - OHADA"</v>
          </cell>
          <cell r="C280" t="str">
            <v>Prêts participatifs</v>
          </cell>
          <cell r="D280" t="str">
            <v>OHADA</v>
          </cell>
          <cell r="E280" t="str">
            <v>271000 - Prêts et créances - OHADA</v>
          </cell>
          <cell r="F280">
            <v>271100</v>
          </cell>
          <cell r="G280" t="str">
            <v>0</v>
          </cell>
          <cell r="H280" t="str">
            <v>Asset</v>
          </cell>
          <cell r="I280" t="str">
            <v>Balance Sheet</v>
          </cell>
          <cell r="J280" t="str">
            <v>XAF</v>
          </cell>
          <cell r="K280" t="str">
            <v>Autres immobilisations financières</v>
          </cell>
        </row>
        <row r="281">
          <cell r="A281" t="str">
            <v>A280</v>
          </cell>
          <cell r="B281" t="str">
            <v>"271200 - Prêts aux associés - OHADA"</v>
          </cell>
          <cell r="C281" t="str">
            <v>Prêts aux associés</v>
          </cell>
          <cell r="D281" t="str">
            <v>OHADA</v>
          </cell>
          <cell r="E281" t="str">
            <v>271000 - Prêts et créances - OHADA</v>
          </cell>
          <cell r="F281">
            <v>271200</v>
          </cell>
          <cell r="G281" t="str">
            <v>0</v>
          </cell>
          <cell r="H281" t="str">
            <v>Asset</v>
          </cell>
          <cell r="I281" t="str">
            <v>Balance Sheet</v>
          </cell>
          <cell r="J281" t="str">
            <v>XAF</v>
          </cell>
          <cell r="K281" t="str">
            <v>Autres immobilisations financières</v>
          </cell>
        </row>
        <row r="282">
          <cell r="A282" t="str">
            <v>A281</v>
          </cell>
          <cell r="B282" t="str">
            <v>"271300 - Billets de fonds - OHADA"</v>
          </cell>
          <cell r="C282" t="str">
            <v>Billets de fonds</v>
          </cell>
          <cell r="D282" t="str">
            <v>OHADA</v>
          </cell>
          <cell r="E282" t="str">
            <v>271000 - Prêts et créances - OHADA</v>
          </cell>
          <cell r="F282">
            <v>271300</v>
          </cell>
          <cell r="G282" t="str">
            <v>0</v>
          </cell>
          <cell r="H282" t="str">
            <v>Asset</v>
          </cell>
          <cell r="I282" t="str">
            <v>Balance Sheet</v>
          </cell>
          <cell r="J282" t="str">
            <v>XAF</v>
          </cell>
          <cell r="K282" t="str">
            <v>Autres immobilisations financières</v>
          </cell>
        </row>
        <row r="283">
          <cell r="A283" t="str">
            <v>A282</v>
          </cell>
          <cell r="B283" t="str">
            <v>"271400 - Titres prêtés - OHADA"</v>
          </cell>
          <cell r="C283" t="str">
            <v>Titres prêtés</v>
          </cell>
          <cell r="D283" t="str">
            <v>OHADA</v>
          </cell>
          <cell r="E283" t="str">
            <v>271000 - Prêts et créances - OHADA</v>
          </cell>
          <cell r="F283">
            <v>271400</v>
          </cell>
          <cell r="G283" t="str">
            <v>0</v>
          </cell>
          <cell r="H283" t="str">
            <v>Asset</v>
          </cell>
          <cell r="I283" t="str">
            <v>Balance Sheet</v>
          </cell>
          <cell r="J283" t="str">
            <v>XAF</v>
          </cell>
          <cell r="K283" t="str">
            <v>Autres immobilisations financières</v>
          </cell>
        </row>
        <row r="284">
          <cell r="A284" t="str">
            <v>A283</v>
          </cell>
          <cell r="B284" t="str">
            <v>"271800 - Autres prêts et créances - OHADA"</v>
          </cell>
          <cell r="C284" t="str">
            <v>Autres prêts et créances</v>
          </cell>
          <cell r="D284" t="str">
            <v>OHADA</v>
          </cell>
          <cell r="E284" t="str">
            <v>271000 - Prêts et créances - OHADA</v>
          </cell>
          <cell r="F284">
            <v>271800</v>
          </cell>
          <cell r="G284" t="str">
            <v>0</v>
          </cell>
          <cell r="H284" t="str">
            <v>Asset</v>
          </cell>
          <cell r="I284" t="str">
            <v>Balance Sheet</v>
          </cell>
          <cell r="J284" t="str">
            <v>XAF</v>
          </cell>
          <cell r="K284" t="str">
            <v>Autres immobilisations financières</v>
          </cell>
        </row>
        <row r="285">
          <cell r="A285" t="str">
            <v>A284</v>
          </cell>
          <cell r="B285" t="str">
            <v>"272000 - Prêts au personnel - OHADA"</v>
          </cell>
          <cell r="C285" t="str">
            <v>Prêts au personnel</v>
          </cell>
          <cell r="D285" t="str">
            <v>OHADA</v>
          </cell>
          <cell r="E285" t="str">
            <v>270000 - Autres immobilisations financières - OHADA</v>
          </cell>
          <cell r="F285">
            <v>272000</v>
          </cell>
          <cell r="G285" t="str">
            <v>1</v>
          </cell>
          <cell r="H285" t="str">
            <v>Asset</v>
          </cell>
          <cell r="I285" t="str">
            <v>Balance Sheet</v>
          </cell>
          <cell r="J285" t="str">
            <v>XAF</v>
          </cell>
          <cell r="K285" t="str">
            <v>Autres immobilisations financières</v>
          </cell>
        </row>
        <row r="286">
          <cell r="A286" t="str">
            <v>A285</v>
          </cell>
          <cell r="B286" t="str">
            <v>"272100 - Prêts immobiliers - OHADA"</v>
          </cell>
          <cell r="C286" t="str">
            <v>Prêts immobiliers</v>
          </cell>
          <cell r="D286" t="str">
            <v>OHADA</v>
          </cell>
          <cell r="E286" t="str">
            <v>272000 - Prêts au personnel - OHADA</v>
          </cell>
          <cell r="F286">
            <v>272100</v>
          </cell>
          <cell r="G286" t="str">
            <v>0</v>
          </cell>
          <cell r="H286" t="str">
            <v>Asset</v>
          </cell>
          <cell r="I286" t="str">
            <v>Balance Sheet</v>
          </cell>
          <cell r="J286" t="str">
            <v>XAF</v>
          </cell>
          <cell r="K286" t="str">
            <v>Autres immobilisations financières</v>
          </cell>
        </row>
        <row r="287">
          <cell r="A287" t="str">
            <v>A286</v>
          </cell>
          <cell r="B287" t="str">
            <v>"272200 - Prêts mobiliers et d’installation - OHADA"</v>
          </cell>
          <cell r="C287" t="str">
            <v>Prêts mobiliers et d’installation</v>
          </cell>
          <cell r="D287" t="str">
            <v>OHADA</v>
          </cell>
          <cell r="E287" t="str">
            <v>272000 - Prêts au personnel - OHADA</v>
          </cell>
          <cell r="F287">
            <v>272200</v>
          </cell>
          <cell r="G287" t="str">
            <v>0</v>
          </cell>
          <cell r="H287" t="str">
            <v>Asset</v>
          </cell>
          <cell r="I287" t="str">
            <v>Balance Sheet</v>
          </cell>
          <cell r="J287" t="str">
            <v>XAF</v>
          </cell>
          <cell r="K287" t="str">
            <v>Autres immobilisations financières</v>
          </cell>
        </row>
        <row r="288">
          <cell r="A288" t="str">
            <v>A287</v>
          </cell>
          <cell r="B288" t="str">
            <v>"272800 - Autres prêts au personnel - OHADA"</v>
          </cell>
          <cell r="C288" t="str">
            <v>Autres prêts au personnel</v>
          </cell>
          <cell r="D288" t="str">
            <v>OHADA</v>
          </cell>
          <cell r="E288" t="str">
            <v>272000 - Prêts au personnel - OHADA</v>
          </cell>
          <cell r="F288">
            <v>272800</v>
          </cell>
          <cell r="G288" t="str">
            <v>0</v>
          </cell>
          <cell r="H288" t="str">
            <v>Asset</v>
          </cell>
          <cell r="I288" t="str">
            <v>Balance Sheet</v>
          </cell>
          <cell r="J288" t="str">
            <v>XAF</v>
          </cell>
          <cell r="K288" t="str">
            <v>Autres immobilisations financières</v>
          </cell>
        </row>
        <row r="289">
          <cell r="A289" t="str">
            <v>A288</v>
          </cell>
          <cell r="B289" t="str">
            <v>"273000 - Créances sur l’État - OHADA"</v>
          </cell>
          <cell r="C289" t="str">
            <v>Créances sur l’État</v>
          </cell>
          <cell r="D289" t="str">
            <v>OHADA</v>
          </cell>
          <cell r="E289" t="str">
            <v>270000 - Autres immobilisations financières - OHADA</v>
          </cell>
          <cell r="F289">
            <v>273000</v>
          </cell>
          <cell r="G289" t="str">
            <v>1</v>
          </cell>
          <cell r="H289" t="str">
            <v>Asset</v>
          </cell>
          <cell r="I289" t="str">
            <v>Balance Sheet</v>
          </cell>
          <cell r="J289" t="str">
            <v>XAF</v>
          </cell>
          <cell r="K289" t="str">
            <v>Autres immobilisations financières</v>
          </cell>
        </row>
        <row r="290">
          <cell r="A290" t="str">
            <v>A289</v>
          </cell>
          <cell r="B290" t="str">
            <v>"273100 - Retenues de garantie - OHADA"</v>
          </cell>
          <cell r="C290" t="str">
            <v>Retenues de garantie</v>
          </cell>
          <cell r="D290" t="str">
            <v>OHADA</v>
          </cell>
          <cell r="E290" t="str">
            <v>273000 - Créances sur l’État - OHADA</v>
          </cell>
          <cell r="F290">
            <v>273100</v>
          </cell>
          <cell r="G290" t="str">
            <v>0</v>
          </cell>
          <cell r="H290" t="str">
            <v>Asset</v>
          </cell>
          <cell r="I290" t="str">
            <v>Balance Sheet</v>
          </cell>
          <cell r="J290" t="str">
            <v>XAF</v>
          </cell>
          <cell r="K290" t="str">
            <v>Autres immobilisations financières</v>
          </cell>
        </row>
        <row r="291">
          <cell r="A291" t="str">
            <v>A290</v>
          </cell>
          <cell r="B291" t="str">
            <v>"273300 - Fonds réglementé - OHADA"</v>
          </cell>
          <cell r="C291" t="str">
            <v>Fonds réglementé</v>
          </cell>
          <cell r="D291" t="str">
            <v>OHADA</v>
          </cell>
          <cell r="E291" t="str">
            <v>273000 - Créances sur l’État - OHADA</v>
          </cell>
          <cell r="F291">
            <v>273300</v>
          </cell>
          <cell r="G291" t="str">
            <v>0</v>
          </cell>
          <cell r="H291" t="str">
            <v>Asset</v>
          </cell>
          <cell r="I291" t="str">
            <v>Balance Sheet</v>
          </cell>
          <cell r="J291" t="str">
            <v>XAF</v>
          </cell>
          <cell r="K291" t="str">
            <v>Autres immobilisations financières</v>
          </cell>
        </row>
        <row r="292">
          <cell r="A292" t="str">
            <v>A291</v>
          </cell>
          <cell r="B292" t="str">
            <v>"273400 - Créances sur le concédant - OHADA"</v>
          </cell>
          <cell r="C292" t="str">
            <v>Créances sur le concédant</v>
          </cell>
          <cell r="D292" t="str">
            <v>OHADA</v>
          </cell>
          <cell r="E292" t="str">
            <v>273000 - Créances sur l’État - OHADA</v>
          </cell>
          <cell r="F292">
            <v>273400</v>
          </cell>
          <cell r="G292" t="str">
            <v>0</v>
          </cell>
          <cell r="H292" t="str">
            <v>Asset</v>
          </cell>
          <cell r="I292" t="str">
            <v>Balance Sheet</v>
          </cell>
          <cell r="J292" t="str">
            <v>XAF</v>
          </cell>
          <cell r="K292" t="str">
            <v>Autres immobilisations financières</v>
          </cell>
        </row>
        <row r="293">
          <cell r="A293" t="str">
            <v>A292</v>
          </cell>
          <cell r="B293" t="str">
            <v>"273800 - Autres créances sur l’État - OHADA"</v>
          </cell>
          <cell r="C293" t="str">
            <v>Autres créances sur l’État</v>
          </cell>
          <cell r="D293" t="str">
            <v>OHADA</v>
          </cell>
          <cell r="E293" t="str">
            <v>273000 - Créances sur l’État - OHADA</v>
          </cell>
          <cell r="F293">
            <v>273800</v>
          </cell>
          <cell r="G293" t="str">
            <v>0</v>
          </cell>
          <cell r="H293" t="str">
            <v>Asset</v>
          </cell>
          <cell r="I293" t="str">
            <v>Balance Sheet</v>
          </cell>
          <cell r="J293" t="str">
            <v>XAF</v>
          </cell>
          <cell r="K293" t="str">
            <v>Autres immobilisations financières</v>
          </cell>
        </row>
        <row r="294">
          <cell r="A294" t="str">
            <v>A293</v>
          </cell>
          <cell r="B294" t="str">
            <v>"274000 - Titres immobilisés - OHADA"</v>
          </cell>
          <cell r="C294" t="str">
            <v>Titres immobilisés</v>
          </cell>
          <cell r="D294" t="str">
            <v>OHADA</v>
          </cell>
          <cell r="E294" t="str">
            <v>270000 - Autres immobilisations financières - OHADA</v>
          </cell>
          <cell r="F294">
            <v>274000</v>
          </cell>
          <cell r="G294" t="str">
            <v>1</v>
          </cell>
          <cell r="H294" t="str">
            <v>Asset</v>
          </cell>
          <cell r="I294" t="str">
            <v>Balance Sheet</v>
          </cell>
          <cell r="J294" t="str">
            <v>XAF</v>
          </cell>
          <cell r="K294" t="str">
            <v>Autres immobilisations financières</v>
          </cell>
        </row>
        <row r="295">
          <cell r="A295" t="str">
            <v>A294</v>
          </cell>
          <cell r="B295" t="str">
            <v>"274100 - Titres immobilisés de l’activité de portefeuille (TIAP) - OHADA"</v>
          </cell>
          <cell r="C295" t="str">
            <v>Titres immobilisés de l’activité de portefeuille (TIAP)</v>
          </cell>
          <cell r="D295" t="str">
            <v>OHADA</v>
          </cell>
          <cell r="E295" t="str">
            <v>274000 - Titres immobilisés - OHADA</v>
          </cell>
          <cell r="F295">
            <v>274100</v>
          </cell>
          <cell r="G295" t="str">
            <v>0</v>
          </cell>
          <cell r="H295" t="str">
            <v>Asset</v>
          </cell>
          <cell r="I295" t="str">
            <v>Balance Sheet</v>
          </cell>
          <cell r="J295" t="str">
            <v>XAF</v>
          </cell>
          <cell r="K295" t="str">
            <v>Autres immobilisations financières</v>
          </cell>
        </row>
        <row r="296">
          <cell r="A296" t="str">
            <v>A295</v>
          </cell>
          <cell r="B296" t="str">
            <v>"274200 - Titres participatifs - OHADA"</v>
          </cell>
          <cell r="C296" t="str">
            <v>Titres participatifs</v>
          </cell>
          <cell r="D296" t="str">
            <v>OHADA</v>
          </cell>
          <cell r="E296" t="str">
            <v>274000 - Titres immobilisés - OHADA</v>
          </cell>
          <cell r="F296">
            <v>274200</v>
          </cell>
          <cell r="G296" t="str">
            <v>0</v>
          </cell>
          <cell r="H296" t="str">
            <v>Asset</v>
          </cell>
          <cell r="I296" t="str">
            <v>Balance Sheet</v>
          </cell>
          <cell r="J296" t="str">
            <v>XAF</v>
          </cell>
          <cell r="K296" t="str">
            <v>Autres immobilisations financières</v>
          </cell>
        </row>
        <row r="297">
          <cell r="A297" t="str">
            <v>A296</v>
          </cell>
          <cell r="B297" t="str">
            <v>"274300 - Certificats d’investissement - OHADA"</v>
          </cell>
          <cell r="C297" t="str">
            <v>Certificats d’investissement</v>
          </cell>
          <cell r="D297" t="str">
            <v>OHADA</v>
          </cell>
          <cell r="E297" t="str">
            <v>274000 - Titres immobilisés - OHADA</v>
          </cell>
          <cell r="F297">
            <v>274300</v>
          </cell>
          <cell r="G297" t="str">
            <v>0</v>
          </cell>
          <cell r="H297" t="str">
            <v>Asset</v>
          </cell>
          <cell r="I297" t="str">
            <v>Balance Sheet</v>
          </cell>
          <cell r="J297" t="str">
            <v>XAF</v>
          </cell>
          <cell r="K297" t="str">
            <v>Autres immobilisations financières</v>
          </cell>
        </row>
        <row r="298">
          <cell r="A298" t="str">
            <v>A297</v>
          </cell>
          <cell r="B298" t="str">
            <v>"274400 - Parts de fonds commun de placement (FCP) - OHADA"</v>
          </cell>
          <cell r="C298" t="str">
            <v>Parts de fonds commun de placement (FCP)</v>
          </cell>
          <cell r="D298" t="str">
            <v>OHADA</v>
          </cell>
          <cell r="E298" t="str">
            <v>274000 - Titres immobilisés - OHADA</v>
          </cell>
          <cell r="F298">
            <v>274400</v>
          </cell>
          <cell r="G298" t="str">
            <v>0</v>
          </cell>
          <cell r="H298" t="str">
            <v>Asset</v>
          </cell>
          <cell r="I298" t="str">
            <v>Balance Sheet</v>
          </cell>
          <cell r="J298" t="str">
            <v>XAF</v>
          </cell>
          <cell r="K298" t="str">
            <v>Autres immobilisations financières</v>
          </cell>
        </row>
        <row r="299">
          <cell r="A299" t="str">
            <v>A298</v>
          </cell>
          <cell r="B299" t="str">
            <v>"274500 - Obligations - OHADA"</v>
          </cell>
          <cell r="C299" t="str">
            <v>Obligations</v>
          </cell>
          <cell r="D299" t="str">
            <v>OHADA</v>
          </cell>
          <cell r="E299" t="str">
            <v>274000 - Titres immobilisés - OHADA</v>
          </cell>
          <cell r="F299">
            <v>274500</v>
          </cell>
          <cell r="G299" t="str">
            <v>0</v>
          </cell>
          <cell r="H299" t="str">
            <v>Asset</v>
          </cell>
          <cell r="I299" t="str">
            <v>Balance Sheet</v>
          </cell>
          <cell r="J299" t="str">
            <v>XAF</v>
          </cell>
          <cell r="K299" t="str">
            <v>Autres immobilisations financières</v>
          </cell>
        </row>
        <row r="300">
          <cell r="A300" t="str">
            <v>A299</v>
          </cell>
          <cell r="B300" t="str">
            <v>"274600 - Actions ou parts propres - OHADA"</v>
          </cell>
          <cell r="C300" t="str">
            <v>Actions ou parts propres</v>
          </cell>
          <cell r="D300" t="str">
            <v>OHADA</v>
          </cell>
          <cell r="E300" t="str">
            <v>274000 - Titres immobilisés - OHADA</v>
          </cell>
          <cell r="F300">
            <v>274600</v>
          </cell>
          <cell r="G300" t="str">
            <v>0</v>
          </cell>
          <cell r="H300" t="str">
            <v>Asset</v>
          </cell>
          <cell r="I300" t="str">
            <v>Balance Sheet</v>
          </cell>
          <cell r="J300" t="str">
            <v>XAF</v>
          </cell>
          <cell r="K300" t="str">
            <v>Autres immobilisations financières</v>
          </cell>
        </row>
        <row r="301">
          <cell r="A301" t="str">
            <v>A300</v>
          </cell>
          <cell r="B301" t="str">
            <v>"274800 - Autres titres immobilisés - OHADA"</v>
          </cell>
          <cell r="C301" t="str">
            <v>Autres titres immobilisés</v>
          </cell>
          <cell r="D301" t="str">
            <v>OHADA</v>
          </cell>
          <cell r="E301" t="str">
            <v>274000 - Titres immobilisés - OHADA</v>
          </cell>
          <cell r="F301">
            <v>274800</v>
          </cell>
          <cell r="G301" t="str">
            <v>0</v>
          </cell>
          <cell r="H301" t="str">
            <v>Asset</v>
          </cell>
          <cell r="I301" t="str">
            <v>Balance Sheet</v>
          </cell>
          <cell r="J301" t="str">
            <v>XAF</v>
          </cell>
          <cell r="K301" t="str">
            <v>Autres immobilisations financières</v>
          </cell>
        </row>
        <row r="302">
          <cell r="A302" t="str">
            <v>A301</v>
          </cell>
          <cell r="B302" t="str">
            <v>"275000 - Dépôts et cautionnements versés - OHADA"</v>
          </cell>
          <cell r="C302" t="str">
            <v>Dépôts et cautionnements versés</v>
          </cell>
          <cell r="D302" t="str">
            <v>OHADA</v>
          </cell>
          <cell r="E302" t="str">
            <v>270000 - Autres immobilisations financières - OHADA</v>
          </cell>
          <cell r="F302">
            <v>275000</v>
          </cell>
          <cell r="G302" t="str">
            <v>1</v>
          </cell>
          <cell r="H302" t="str">
            <v>Asset</v>
          </cell>
          <cell r="I302" t="str">
            <v>Balance Sheet</v>
          </cell>
          <cell r="J302" t="str">
            <v>XAF</v>
          </cell>
          <cell r="K302" t="str">
            <v>Autres immobilisations financières</v>
          </cell>
        </row>
        <row r="303">
          <cell r="A303" t="str">
            <v>A302</v>
          </cell>
          <cell r="B303" t="str">
            <v>"275100 - Dépôts pour loyers d’avance - OHADA"</v>
          </cell>
          <cell r="C303" t="str">
            <v>Dépôts pour loyers d’avance</v>
          </cell>
          <cell r="D303" t="str">
            <v>OHADA</v>
          </cell>
          <cell r="E303" t="str">
            <v>275000 - Dépôts et cautionnements versés - OHADA</v>
          </cell>
          <cell r="F303">
            <v>275100</v>
          </cell>
          <cell r="G303" t="str">
            <v>0</v>
          </cell>
          <cell r="H303" t="str">
            <v>Asset</v>
          </cell>
          <cell r="I303" t="str">
            <v>Balance Sheet</v>
          </cell>
          <cell r="J303" t="str">
            <v>XAF</v>
          </cell>
          <cell r="K303" t="str">
            <v>Autres immobilisations financières</v>
          </cell>
        </row>
        <row r="304">
          <cell r="A304" t="str">
            <v>A303</v>
          </cell>
          <cell r="B304" t="str">
            <v>"275200 - Dépôts pour l’électricité - OHADA"</v>
          </cell>
          <cell r="C304" t="str">
            <v>Dépôts pour l’électricité</v>
          </cell>
          <cell r="D304" t="str">
            <v>OHADA</v>
          </cell>
          <cell r="E304" t="str">
            <v>275000 - Dépôts et cautionnements versés - OHADA</v>
          </cell>
          <cell r="F304">
            <v>275200</v>
          </cell>
          <cell r="G304" t="str">
            <v>0</v>
          </cell>
          <cell r="H304" t="str">
            <v>Asset</v>
          </cell>
          <cell r="I304" t="str">
            <v>Balance Sheet</v>
          </cell>
          <cell r="J304" t="str">
            <v>XAF</v>
          </cell>
          <cell r="K304" t="str">
            <v>Autres immobilisations financières</v>
          </cell>
        </row>
        <row r="305">
          <cell r="A305" t="str">
            <v>A304</v>
          </cell>
          <cell r="B305" t="str">
            <v>"275300 - Dépôts pour l’eau - OHADA"</v>
          </cell>
          <cell r="C305" t="str">
            <v>Dépôts pour l’eau</v>
          </cell>
          <cell r="D305" t="str">
            <v>OHADA</v>
          </cell>
          <cell r="E305" t="str">
            <v>275000 - Dépôts et cautionnements versés - OHADA</v>
          </cell>
          <cell r="F305">
            <v>275300</v>
          </cell>
          <cell r="G305" t="str">
            <v>0</v>
          </cell>
          <cell r="H305" t="str">
            <v>Asset</v>
          </cell>
          <cell r="I305" t="str">
            <v>Balance Sheet</v>
          </cell>
          <cell r="J305" t="str">
            <v>XAF</v>
          </cell>
          <cell r="K305" t="str">
            <v>Autres immobilisations financières</v>
          </cell>
        </row>
        <row r="306">
          <cell r="A306" t="str">
            <v>A305</v>
          </cell>
          <cell r="B306" t="str">
            <v>"275400 - Dépôts pour le gaz - OHADA"</v>
          </cell>
          <cell r="C306" t="str">
            <v>Dépôts pour le gaz</v>
          </cell>
          <cell r="D306" t="str">
            <v>OHADA</v>
          </cell>
          <cell r="E306" t="str">
            <v>275000 - Dépôts et cautionnements versés - OHADA</v>
          </cell>
          <cell r="F306">
            <v>275400</v>
          </cell>
          <cell r="G306" t="str">
            <v>0</v>
          </cell>
          <cell r="H306" t="str">
            <v>Asset</v>
          </cell>
          <cell r="I306" t="str">
            <v>Balance Sheet</v>
          </cell>
          <cell r="J306" t="str">
            <v>XAF</v>
          </cell>
          <cell r="K306" t="str">
            <v>Autres immobilisations financières</v>
          </cell>
        </row>
        <row r="307">
          <cell r="A307" t="str">
            <v>A306</v>
          </cell>
          <cell r="B307" t="str">
            <v>"275500 - Dépôts pour le téléphone, le télex, la télécopie - OHADA"</v>
          </cell>
          <cell r="C307" t="str">
            <v>Dépôts pour le téléphone, le télex, la télécopie</v>
          </cell>
          <cell r="D307" t="str">
            <v>OHADA</v>
          </cell>
          <cell r="E307" t="str">
            <v>275000 - Dépôts et cautionnements versés - OHADA</v>
          </cell>
          <cell r="F307">
            <v>275500</v>
          </cell>
          <cell r="G307" t="str">
            <v>0</v>
          </cell>
          <cell r="H307" t="str">
            <v>Asset</v>
          </cell>
          <cell r="I307" t="str">
            <v>Balance Sheet</v>
          </cell>
          <cell r="J307" t="str">
            <v>XAF</v>
          </cell>
          <cell r="K307" t="str">
            <v>Autres immobilisations financières</v>
          </cell>
        </row>
        <row r="308">
          <cell r="A308" t="str">
            <v>A307</v>
          </cell>
          <cell r="B308" t="str">
            <v>"275600 - Cautionnements sur marchés publics - OHADA"</v>
          </cell>
          <cell r="C308" t="str">
            <v>Cautionnements sur marchés publics</v>
          </cell>
          <cell r="D308" t="str">
            <v>OHADA</v>
          </cell>
          <cell r="E308" t="str">
            <v>275000 - Dépôts et cautionnements versés - OHADA</v>
          </cell>
          <cell r="F308">
            <v>275600</v>
          </cell>
          <cell r="G308" t="str">
            <v>0</v>
          </cell>
          <cell r="H308" t="str">
            <v>Asset</v>
          </cell>
          <cell r="I308" t="str">
            <v>Balance Sheet</v>
          </cell>
          <cell r="J308" t="str">
            <v>XAF</v>
          </cell>
          <cell r="K308" t="str">
            <v>Autres immobilisations financières</v>
          </cell>
        </row>
        <row r="309">
          <cell r="A309" t="str">
            <v>A308</v>
          </cell>
          <cell r="B309" t="str">
            <v>"275700 - Cautionnements sur autres opérations - OHADA"</v>
          </cell>
          <cell r="C309" t="str">
            <v>Cautionnements sur autres opérations</v>
          </cell>
          <cell r="D309" t="str">
            <v>OHADA</v>
          </cell>
          <cell r="E309" t="str">
            <v>275000 - Dépôts et cautionnements versés - OHADA</v>
          </cell>
          <cell r="F309">
            <v>275700</v>
          </cell>
          <cell r="G309" t="str">
            <v>0</v>
          </cell>
          <cell r="H309" t="str">
            <v>Asset</v>
          </cell>
          <cell r="I309" t="str">
            <v>Balance Sheet</v>
          </cell>
          <cell r="J309" t="str">
            <v>XAF</v>
          </cell>
          <cell r="K309" t="str">
            <v>Autres immobilisations financières</v>
          </cell>
        </row>
        <row r="310">
          <cell r="A310" t="str">
            <v>A309</v>
          </cell>
          <cell r="B310" t="str">
            <v>"275800 - Autres dépôts et cautionnements - OHADA"</v>
          </cell>
          <cell r="C310" t="str">
            <v>Autres dépôts et cautionnements</v>
          </cell>
          <cell r="D310" t="str">
            <v>OHADA</v>
          </cell>
          <cell r="E310" t="str">
            <v>275000 - Dépôts et cautionnements versés - OHADA</v>
          </cell>
          <cell r="F310">
            <v>275800</v>
          </cell>
          <cell r="G310" t="str">
            <v>0</v>
          </cell>
          <cell r="H310" t="str">
            <v>Asset</v>
          </cell>
          <cell r="I310" t="str">
            <v>Balance Sheet</v>
          </cell>
          <cell r="J310" t="str">
            <v>XAF</v>
          </cell>
          <cell r="K310" t="str">
            <v>Autres immobilisations financières</v>
          </cell>
        </row>
        <row r="311">
          <cell r="A311" t="str">
            <v>A310</v>
          </cell>
          <cell r="B311" t="str">
            <v>"276000 - Intérêts courus - OHADA"</v>
          </cell>
          <cell r="C311" t="str">
            <v>Intérêts courus</v>
          </cell>
          <cell r="D311" t="str">
            <v>OHADA</v>
          </cell>
          <cell r="E311" t="str">
            <v>270000 - Autres immobilisations financières - OHADA</v>
          </cell>
          <cell r="F311">
            <v>276000</v>
          </cell>
          <cell r="G311" t="str">
            <v>1</v>
          </cell>
          <cell r="H311" t="str">
            <v>Asset</v>
          </cell>
          <cell r="I311" t="str">
            <v>Balance Sheet</v>
          </cell>
          <cell r="J311" t="str">
            <v>XAF</v>
          </cell>
          <cell r="K311" t="str">
            <v>Autres immobilisations financières</v>
          </cell>
        </row>
        <row r="312">
          <cell r="A312" t="str">
            <v>A311</v>
          </cell>
          <cell r="B312" t="str">
            <v>"276100 - Prêts et créances non commerciales - OHADA"</v>
          </cell>
          <cell r="C312" t="str">
            <v>Prêts et créances non commerciales</v>
          </cell>
          <cell r="D312" t="str">
            <v>OHADA</v>
          </cell>
          <cell r="E312" t="str">
            <v>276000 - Intérêts courus - OHADA</v>
          </cell>
          <cell r="F312">
            <v>276100</v>
          </cell>
          <cell r="G312" t="str">
            <v>0</v>
          </cell>
          <cell r="H312" t="str">
            <v>Asset</v>
          </cell>
          <cell r="I312" t="str">
            <v>Balance Sheet</v>
          </cell>
          <cell r="J312" t="str">
            <v>XAF</v>
          </cell>
          <cell r="K312" t="str">
            <v>Autres immobilisations financières</v>
          </cell>
        </row>
        <row r="313">
          <cell r="A313" t="str">
            <v>A312</v>
          </cell>
          <cell r="B313" t="str">
            <v>"276200 - Prêts au personnel - OHADA"</v>
          </cell>
          <cell r="C313" t="str">
            <v>Prêts au personnel</v>
          </cell>
          <cell r="D313" t="str">
            <v>OHADA</v>
          </cell>
          <cell r="E313" t="str">
            <v>276000 - Intérêts courus - OHADA</v>
          </cell>
          <cell r="F313">
            <v>276200</v>
          </cell>
          <cell r="G313" t="str">
            <v>0</v>
          </cell>
          <cell r="H313" t="str">
            <v>Asset</v>
          </cell>
          <cell r="I313" t="str">
            <v>Balance Sheet</v>
          </cell>
          <cell r="J313" t="str">
            <v>XAF</v>
          </cell>
          <cell r="K313" t="str">
            <v>Autres immobilisations financières</v>
          </cell>
        </row>
        <row r="314">
          <cell r="A314" t="str">
            <v>A313</v>
          </cell>
          <cell r="B314" t="str">
            <v>"276300 - Créances sur l’État - OHADA"</v>
          </cell>
          <cell r="C314" t="str">
            <v>Créances sur l’État</v>
          </cell>
          <cell r="D314" t="str">
            <v>OHADA</v>
          </cell>
          <cell r="E314" t="str">
            <v>276000 - Intérêts courus - OHADA</v>
          </cell>
          <cell r="F314">
            <v>276300</v>
          </cell>
          <cell r="G314" t="str">
            <v>0</v>
          </cell>
          <cell r="H314" t="str">
            <v>Asset</v>
          </cell>
          <cell r="I314" t="str">
            <v>Balance Sheet</v>
          </cell>
          <cell r="J314" t="str">
            <v>XAF</v>
          </cell>
          <cell r="K314" t="str">
            <v>Autres immobilisations financières</v>
          </cell>
        </row>
        <row r="315">
          <cell r="A315" t="str">
            <v>A314</v>
          </cell>
          <cell r="B315" t="str">
            <v>"276400 - Titres immobilisés - OHADA"</v>
          </cell>
          <cell r="C315" t="str">
            <v>Titres immobilisés</v>
          </cell>
          <cell r="D315" t="str">
            <v>OHADA</v>
          </cell>
          <cell r="E315" t="str">
            <v>276000 - Intérêts courus - OHADA</v>
          </cell>
          <cell r="F315">
            <v>276400</v>
          </cell>
          <cell r="G315" t="str">
            <v>0</v>
          </cell>
          <cell r="H315" t="str">
            <v>Asset</v>
          </cell>
          <cell r="I315" t="str">
            <v>Balance Sheet</v>
          </cell>
          <cell r="J315" t="str">
            <v>XAF</v>
          </cell>
          <cell r="K315" t="str">
            <v>Autres immobilisations financières</v>
          </cell>
        </row>
        <row r="316">
          <cell r="A316" t="str">
            <v>A315</v>
          </cell>
          <cell r="B316" t="str">
            <v>"276500 - Dépôts et cautionnements versés - OHADA"</v>
          </cell>
          <cell r="C316" t="str">
            <v>Dépôts et cautionnements versés</v>
          </cell>
          <cell r="D316" t="str">
            <v>OHADA</v>
          </cell>
          <cell r="E316" t="str">
            <v>276000 - Intérêts courus - OHADA</v>
          </cell>
          <cell r="F316">
            <v>276500</v>
          </cell>
          <cell r="G316" t="str">
            <v>0</v>
          </cell>
          <cell r="H316" t="str">
            <v>Asset</v>
          </cell>
          <cell r="I316" t="str">
            <v>Balance Sheet</v>
          </cell>
          <cell r="J316" t="str">
            <v>XAF</v>
          </cell>
          <cell r="K316" t="str">
            <v>Autres immobilisations financières</v>
          </cell>
        </row>
        <row r="317">
          <cell r="A317" t="str">
            <v>A316</v>
          </cell>
          <cell r="B317" t="str">
            <v>"276700 - Créances rattachées à des participations - OHADA"</v>
          </cell>
          <cell r="C317" t="str">
            <v>Créances rattachées à des participations</v>
          </cell>
          <cell r="D317" t="str">
            <v>OHADA</v>
          </cell>
          <cell r="E317" t="str">
            <v>276000 - Intérêts courus - OHADA</v>
          </cell>
          <cell r="F317">
            <v>276700</v>
          </cell>
          <cell r="G317" t="str">
            <v>0</v>
          </cell>
          <cell r="H317" t="str">
            <v>Asset</v>
          </cell>
          <cell r="I317" t="str">
            <v>Balance Sheet</v>
          </cell>
          <cell r="J317" t="str">
            <v>XAF</v>
          </cell>
          <cell r="K317" t="str">
            <v>Autres immobilisations financières</v>
          </cell>
        </row>
        <row r="318">
          <cell r="A318" t="str">
            <v>A317</v>
          </cell>
          <cell r="B318" t="str">
            <v>"276800 - Immobilisations financières diverses - OHADA"</v>
          </cell>
          <cell r="C318" t="str">
            <v>Immobilisations financières diverses</v>
          </cell>
          <cell r="D318" t="str">
            <v>OHADA</v>
          </cell>
          <cell r="E318" t="str">
            <v>276000 - Intérêts courus - OHADA</v>
          </cell>
          <cell r="F318">
            <v>276800</v>
          </cell>
          <cell r="G318" t="str">
            <v>0</v>
          </cell>
          <cell r="H318" t="str">
            <v>Asset</v>
          </cell>
          <cell r="I318" t="str">
            <v>Balance Sheet</v>
          </cell>
          <cell r="J318" t="str">
            <v>XAF</v>
          </cell>
          <cell r="K318" t="str">
            <v>Autres immobilisations financières</v>
          </cell>
        </row>
        <row r="319">
          <cell r="A319" t="str">
            <v>A318</v>
          </cell>
          <cell r="B319" t="str">
            <v>"277000 - Créances rattachées à des participations et avances à des GIE - OHADA"</v>
          </cell>
          <cell r="C319" t="str">
            <v>Créances rattachées à des participations et avances à des GIE</v>
          </cell>
          <cell r="D319" t="str">
            <v>OHADA</v>
          </cell>
          <cell r="E319" t="str">
            <v>270000 - Autres immobilisations financières - OHADA</v>
          </cell>
          <cell r="F319">
            <v>277000</v>
          </cell>
          <cell r="G319" t="str">
            <v>1</v>
          </cell>
          <cell r="H319" t="str">
            <v>Asset</v>
          </cell>
          <cell r="I319" t="str">
            <v>Balance Sheet</v>
          </cell>
          <cell r="J319" t="str">
            <v>XAF</v>
          </cell>
          <cell r="K319" t="str">
            <v>Autres immobilisations financières</v>
          </cell>
        </row>
        <row r="320">
          <cell r="A320" t="str">
            <v>A319</v>
          </cell>
          <cell r="B320" t="str">
            <v>"277100 - Créances rattachées à des participations (groupe) - OHADA"</v>
          </cell>
          <cell r="C320" t="str">
            <v>Créances rattachées à des participations (groupe)</v>
          </cell>
          <cell r="D320" t="str">
            <v>OHADA</v>
          </cell>
          <cell r="E320" t="str">
            <v>277000 - Créances rattachées à des participations et avances à des GIE - OHADA</v>
          </cell>
          <cell r="F320">
            <v>277100</v>
          </cell>
          <cell r="G320" t="str">
            <v>0</v>
          </cell>
          <cell r="H320" t="str">
            <v>Asset</v>
          </cell>
          <cell r="I320" t="str">
            <v>Balance Sheet</v>
          </cell>
          <cell r="J320" t="str">
            <v>XAF</v>
          </cell>
          <cell r="K320" t="str">
            <v>Autres immobilisations financières</v>
          </cell>
        </row>
        <row r="321">
          <cell r="A321" t="str">
            <v>A320</v>
          </cell>
          <cell r="B321" t="str">
            <v>"277200 - Créances rattachées à des participations (hors groupe) - OHADA"</v>
          </cell>
          <cell r="C321" t="str">
            <v>Créances rattachées à des participations (hors groupe)</v>
          </cell>
          <cell r="D321" t="str">
            <v>OHADA</v>
          </cell>
          <cell r="E321" t="str">
            <v>277000 - Créances rattachées à des participations et avances à des GIE - OHADA</v>
          </cell>
          <cell r="F321">
            <v>277200</v>
          </cell>
          <cell r="G321" t="str">
            <v>0</v>
          </cell>
          <cell r="H321" t="str">
            <v>Asset</v>
          </cell>
          <cell r="I321" t="str">
            <v>Balance Sheet</v>
          </cell>
          <cell r="J321" t="str">
            <v>XAF</v>
          </cell>
          <cell r="K321" t="str">
            <v>Autres immobilisations financières</v>
          </cell>
        </row>
        <row r="322">
          <cell r="A322" t="str">
            <v>A321</v>
          </cell>
          <cell r="B322" t="str">
            <v>"277300 - Créances rattachées à des sociétés en participation - OHADA"</v>
          </cell>
          <cell r="C322" t="str">
            <v>Créances rattachées à des sociétés en participation</v>
          </cell>
          <cell r="D322" t="str">
            <v>OHADA</v>
          </cell>
          <cell r="E322" t="str">
            <v>277000 - Créances rattachées à des participations et avances à des GIE - OHADA</v>
          </cell>
          <cell r="F322">
            <v>277300</v>
          </cell>
          <cell r="G322" t="str">
            <v>0</v>
          </cell>
          <cell r="H322" t="str">
            <v>Asset</v>
          </cell>
          <cell r="I322" t="str">
            <v>Balance Sheet</v>
          </cell>
          <cell r="J322" t="str">
            <v>XAF</v>
          </cell>
          <cell r="K322" t="str">
            <v>Autres immobilisations financières</v>
          </cell>
        </row>
        <row r="323">
          <cell r="A323" t="str">
            <v>A322</v>
          </cell>
          <cell r="B323" t="str">
            <v>"277400 - Avances à des Groupements d’intérêt économique (GIE) - OHADA"</v>
          </cell>
          <cell r="C323" t="str">
            <v>Avances à des Groupements d’intérêt économique (GIE)</v>
          </cell>
          <cell r="D323" t="str">
            <v>OHADA</v>
          </cell>
          <cell r="E323" t="str">
            <v>277000 - Créances rattachées à des participations et avances à des GIE - OHADA</v>
          </cell>
          <cell r="F323">
            <v>277400</v>
          </cell>
          <cell r="G323" t="str">
            <v>0</v>
          </cell>
          <cell r="H323" t="str">
            <v>Asset</v>
          </cell>
          <cell r="I323" t="str">
            <v>Balance Sheet</v>
          </cell>
          <cell r="J323" t="str">
            <v>XAF</v>
          </cell>
          <cell r="K323" t="str">
            <v>Autres immobilisations financières</v>
          </cell>
        </row>
        <row r="324">
          <cell r="A324" t="str">
            <v>A323</v>
          </cell>
          <cell r="B324" t="str">
            <v>"278000 - Immobilisations financières diverses - OHADA"</v>
          </cell>
          <cell r="C324" t="str">
            <v>Immobilisations financières diverses</v>
          </cell>
          <cell r="D324" t="str">
            <v>OHADA</v>
          </cell>
          <cell r="E324" t="str">
            <v>270000 - Autres immobilisations financières - OHADA</v>
          </cell>
          <cell r="F324">
            <v>278000</v>
          </cell>
          <cell r="G324" t="str">
            <v>1</v>
          </cell>
          <cell r="H324" t="str">
            <v>Asset</v>
          </cell>
          <cell r="I324" t="str">
            <v>Balance Sheet</v>
          </cell>
          <cell r="J324" t="str">
            <v>XAF</v>
          </cell>
          <cell r="K324" t="str">
            <v>Autres immobilisations financières</v>
          </cell>
        </row>
        <row r="325">
          <cell r="A325" t="str">
            <v>A324</v>
          </cell>
          <cell r="B325" t="str">
            <v>"278100 - Créances diverses groupe - OHADA"</v>
          </cell>
          <cell r="C325" t="str">
            <v>Créances diverses groupe</v>
          </cell>
          <cell r="D325" t="str">
            <v>OHADA</v>
          </cell>
          <cell r="E325" t="str">
            <v>278000 - Immobilisations financières diverses - OHADA</v>
          </cell>
          <cell r="F325">
            <v>278100</v>
          </cell>
          <cell r="G325" t="str">
            <v>0</v>
          </cell>
          <cell r="H325" t="str">
            <v>Asset</v>
          </cell>
          <cell r="I325" t="str">
            <v>Balance Sheet</v>
          </cell>
          <cell r="J325" t="str">
            <v>XAF</v>
          </cell>
          <cell r="K325" t="str">
            <v>Autres immobilisations financières</v>
          </cell>
        </row>
        <row r="326">
          <cell r="A326" t="str">
            <v>A325</v>
          </cell>
          <cell r="B326" t="str">
            <v>"278200 - Créances diverses hors groupe - OHADA"</v>
          </cell>
          <cell r="C326" t="str">
            <v>Créances diverses hors groupe</v>
          </cell>
          <cell r="D326" t="str">
            <v>OHADA</v>
          </cell>
          <cell r="E326" t="str">
            <v>278000 - Immobilisations financières diverses - OHADA</v>
          </cell>
          <cell r="F326">
            <v>278200</v>
          </cell>
          <cell r="G326" t="str">
            <v>0</v>
          </cell>
          <cell r="H326" t="str">
            <v>Asset</v>
          </cell>
          <cell r="I326" t="str">
            <v>Balance Sheet</v>
          </cell>
          <cell r="J326" t="str">
            <v>XAF</v>
          </cell>
          <cell r="K326" t="str">
            <v>Autres immobilisations financières</v>
          </cell>
        </row>
        <row r="327">
          <cell r="A327" t="str">
            <v>A326</v>
          </cell>
          <cell r="B327" t="str">
            <v>"278400 - Banques dépôts à terme - OHADA"</v>
          </cell>
          <cell r="C327" t="str">
            <v>Banques dépôts à terme</v>
          </cell>
          <cell r="D327" t="str">
            <v>OHADA</v>
          </cell>
          <cell r="E327" t="str">
            <v>278000 - Immobilisations financières diverses - OHADA</v>
          </cell>
          <cell r="F327">
            <v>278400</v>
          </cell>
          <cell r="G327" t="str">
            <v>0</v>
          </cell>
          <cell r="H327" t="str">
            <v>Asset</v>
          </cell>
          <cell r="I327" t="str">
            <v>Balance Sheet</v>
          </cell>
          <cell r="J327" t="str">
            <v>XAF</v>
          </cell>
          <cell r="K327" t="str">
            <v>Autres immobilisations financières</v>
          </cell>
        </row>
        <row r="328">
          <cell r="A328" t="str">
            <v>A327</v>
          </cell>
          <cell r="B328" t="str">
            <v>"278500 - Or et métaux précieux - OHADA"</v>
          </cell>
          <cell r="C328" t="str">
            <v>Or et métaux précieux</v>
          </cell>
          <cell r="D328" t="str">
            <v>OHADA</v>
          </cell>
          <cell r="E328" t="str">
            <v>278000 - Immobilisations financières diverses - OHADA</v>
          </cell>
          <cell r="F328">
            <v>278500</v>
          </cell>
          <cell r="G328" t="str">
            <v>0</v>
          </cell>
          <cell r="H328" t="str">
            <v>Asset</v>
          </cell>
          <cell r="I328" t="str">
            <v>Balance Sheet</v>
          </cell>
          <cell r="J328" t="str">
            <v>XAF</v>
          </cell>
          <cell r="K328" t="str">
            <v>Autres immobilisations financières</v>
          </cell>
        </row>
        <row r="329">
          <cell r="A329" t="str">
            <v>A328</v>
          </cell>
          <cell r="B329" t="str">
            <v>"278800 - Autres immobilisations financières - OHADA"</v>
          </cell>
          <cell r="C329" t="str">
            <v>Autres immobilisations financières</v>
          </cell>
          <cell r="D329" t="str">
            <v>OHADA</v>
          </cell>
          <cell r="E329" t="str">
            <v>278000 - Immobilisations financières diverses - OHADA</v>
          </cell>
          <cell r="F329">
            <v>278800</v>
          </cell>
          <cell r="G329" t="str">
            <v>0</v>
          </cell>
          <cell r="H329" t="str">
            <v>Asset</v>
          </cell>
          <cell r="I329" t="str">
            <v>Balance Sheet</v>
          </cell>
          <cell r="J329" t="str">
            <v>XAF</v>
          </cell>
          <cell r="K329" t="str">
            <v>Autres immobilisations financières</v>
          </cell>
        </row>
        <row r="330">
          <cell r="A330" t="str">
            <v>A329</v>
          </cell>
          <cell r="B330" t="str">
            <v>"280000 - Amortissements - OHADA"</v>
          </cell>
          <cell r="C330" t="str">
            <v>Amortissements</v>
          </cell>
          <cell r="D330" t="str">
            <v>OHADA</v>
          </cell>
          <cell r="E330" t="str">
            <v>2 - Comptes d’actif immobilisé - OHADA</v>
          </cell>
          <cell r="F330">
            <v>280000</v>
          </cell>
          <cell r="G330" t="str">
            <v>1</v>
          </cell>
          <cell r="H330" t="str">
            <v>Asset</v>
          </cell>
          <cell r="I330" t="str">
            <v>Balance Sheet</v>
          </cell>
          <cell r="J330" t="str">
            <v>XAF</v>
          </cell>
          <cell r="K330" t="str">
            <v>Amortissement</v>
          </cell>
        </row>
        <row r="331">
          <cell r="A331" t="str">
            <v>A330</v>
          </cell>
          <cell r="B331" t="str">
            <v>"281000 - Amortissements des immobilisations corporelles - OHADA"</v>
          </cell>
          <cell r="C331" t="str">
            <v>Amortissements des immobilisations corporelles</v>
          </cell>
          <cell r="D331" t="str">
            <v>OHADA</v>
          </cell>
          <cell r="E331" t="str">
            <v>280000 - Amortissements - OHADA</v>
          </cell>
          <cell r="F331">
            <v>281000</v>
          </cell>
          <cell r="G331" t="str">
            <v>1</v>
          </cell>
          <cell r="H331" t="str">
            <v>Asset</v>
          </cell>
          <cell r="I331" t="str">
            <v>Balance Sheet</v>
          </cell>
          <cell r="J331" t="str">
            <v>XAF</v>
          </cell>
          <cell r="K331" t="str">
            <v>Amortissement des immobilisations incorporelles</v>
          </cell>
        </row>
        <row r="332">
          <cell r="A332" t="str">
            <v>A331</v>
          </cell>
          <cell r="B332" t="str">
            <v>"281100 - Amortissements des frais de développement - OHADA"</v>
          </cell>
          <cell r="C332" t="str">
            <v>Amortissements des frais de développement</v>
          </cell>
          <cell r="D332" t="str">
            <v>OHADA</v>
          </cell>
          <cell r="E332" t="str">
            <v>281000 - Amortissements des immobilisations corporelles - OHADA</v>
          </cell>
          <cell r="F332">
            <v>281100</v>
          </cell>
          <cell r="G332" t="str">
            <v>0</v>
          </cell>
          <cell r="H332" t="str">
            <v>Asset</v>
          </cell>
          <cell r="I332" t="str">
            <v>Balance Sheet</v>
          </cell>
          <cell r="J332" t="str">
            <v>XAF</v>
          </cell>
          <cell r="K332" t="str">
            <v>Amortissements des frais de développement</v>
          </cell>
        </row>
        <row r="333">
          <cell r="A333" t="str">
            <v>A332</v>
          </cell>
          <cell r="B333" t="str">
            <v>"281200 - Amortissements des brevets, licences, concessions et droits similaires - OHADA"</v>
          </cell>
          <cell r="C333" t="str">
            <v>Amortissements des brevets, licences, concessions et droits similaires</v>
          </cell>
          <cell r="D333" t="str">
            <v>OHADA</v>
          </cell>
          <cell r="E333" t="str">
            <v>281000 - Amortissements des immobilisations corporelles - OHADA</v>
          </cell>
          <cell r="F333">
            <v>281200</v>
          </cell>
          <cell r="G333" t="str">
            <v>0</v>
          </cell>
          <cell r="H333" t="str">
            <v>Asset</v>
          </cell>
          <cell r="I333" t="str">
            <v>Balance Sheet</v>
          </cell>
          <cell r="J333" t="str">
            <v>XAF</v>
          </cell>
          <cell r="K333" t="str">
            <v>Amortissements des brevets, licences, concessions et droits similaires</v>
          </cell>
        </row>
        <row r="334">
          <cell r="A334" t="str">
            <v>A333</v>
          </cell>
          <cell r="B334" t="str">
            <v>"281300 - Amortissements des logiciels et sites internet - OHADA"</v>
          </cell>
          <cell r="C334" t="str">
            <v>Amortissements des logiciels et sites internet</v>
          </cell>
          <cell r="D334" t="str">
            <v>OHADA</v>
          </cell>
          <cell r="E334" t="str">
            <v>281000 - Amortissements des immobilisations corporelles - OHADA</v>
          </cell>
          <cell r="F334">
            <v>281300</v>
          </cell>
          <cell r="G334" t="str">
            <v>0</v>
          </cell>
          <cell r="H334" t="str">
            <v>Asset</v>
          </cell>
          <cell r="I334" t="str">
            <v>Balance Sheet</v>
          </cell>
          <cell r="J334" t="str">
            <v>XAF</v>
          </cell>
          <cell r="K334" t="str">
            <v>Amortissements des brevets, licences, concessions et droits similaires</v>
          </cell>
        </row>
        <row r="335">
          <cell r="A335" t="str">
            <v>A334</v>
          </cell>
          <cell r="B335" t="str">
            <v>"281400 - Amortissements des marques - OHADA"</v>
          </cell>
          <cell r="C335" t="str">
            <v>Amortissements des marques</v>
          </cell>
          <cell r="D335" t="str">
            <v>OHADA</v>
          </cell>
          <cell r="E335" t="str">
            <v>281000 - Amortissements des immobilisations corporelles - OHADA</v>
          </cell>
          <cell r="F335">
            <v>281400</v>
          </cell>
          <cell r="G335" t="str">
            <v>0</v>
          </cell>
          <cell r="H335" t="str">
            <v>Asset</v>
          </cell>
          <cell r="I335" t="str">
            <v>Balance Sheet</v>
          </cell>
          <cell r="J335" t="str">
            <v>XAF</v>
          </cell>
          <cell r="K335" t="str">
            <v>Amortissements des brevets, licences, concessions et droits similaires</v>
          </cell>
        </row>
        <row r="336">
          <cell r="A336" t="str">
            <v>A335</v>
          </cell>
          <cell r="B336" t="str">
            <v>"281500 - Amortissements du fonds commercial - OHADA"</v>
          </cell>
          <cell r="C336" t="str">
            <v>Amortissements du fonds commercial</v>
          </cell>
          <cell r="D336" t="str">
            <v>OHADA</v>
          </cell>
          <cell r="E336" t="str">
            <v>281000 - Amortissements des immobilisations corporelles - OHADA</v>
          </cell>
          <cell r="F336">
            <v>281500</v>
          </cell>
          <cell r="G336" t="str">
            <v>0</v>
          </cell>
          <cell r="H336" t="str">
            <v>Asset</v>
          </cell>
          <cell r="I336" t="str">
            <v>Balance Sheet</v>
          </cell>
          <cell r="J336" t="str">
            <v>XAF</v>
          </cell>
          <cell r="K336" t="str">
            <v>Amortissements du fonds commercial et du droit au bail</v>
          </cell>
        </row>
        <row r="337">
          <cell r="A337" t="str">
            <v>A336</v>
          </cell>
          <cell r="B337" t="str">
            <v>"281600 - Amortissements du droit au bail - OHADA"</v>
          </cell>
          <cell r="C337" t="str">
            <v>Amortissements du droit au bail</v>
          </cell>
          <cell r="D337" t="str">
            <v>OHADA</v>
          </cell>
          <cell r="E337" t="str">
            <v>281000 - Amortissements des immobilisations corporelles - OHADA</v>
          </cell>
          <cell r="F337">
            <v>281600</v>
          </cell>
          <cell r="G337" t="str">
            <v>0</v>
          </cell>
          <cell r="H337" t="str">
            <v>Asset</v>
          </cell>
          <cell r="I337" t="str">
            <v>Balance Sheet</v>
          </cell>
          <cell r="J337" t="str">
            <v>XAF</v>
          </cell>
          <cell r="K337" t="str">
            <v>Amortissements du fonds commercial et du droit au bail</v>
          </cell>
        </row>
        <row r="338">
          <cell r="A338" t="str">
            <v>A337</v>
          </cell>
          <cell r="B338" t="str">
            <v>"281700 - Amortissements des investissements de création - OHADA"</v>
          </cell>
          <cell r="C338" t="str">
            <v>Amortissements des investissements de création</v>
          </cell>
          <cell r="D338" t="str">
            <v>OHADA</v>
          </cell>
          <cell r="E338" t="str">
            <v>281000 - Amortissements des immobilisations corporelles - OHADA</v>
          </cell>
          <cell r="F338">
            <v>281700</v>
          </cell>
          <cell r="G338" t="str">
            <v>0</v>
          </cell>
          <cell r="H338" t="str">
            <v>Asset</v>
          </cell>
          <cell r="I338" t="str">
            <v>Balance Sheet</v>
          </cell>
          <cell r="J338" t="str">
            <v>XAF</v>
          </cell>
          <cell r="K338" t="str">
            <v>Amortissements du fonds commercial et du droit au bail</v>
          </cell>
        </row>
        <row r="339">
          <cell r="A339" t="str">
            <v>A338</v>
          </cell>
          <cell r="B339" t="str">
            <v>"281800 - Amortissements des autres droits et valeurs incorporels - OHADA"</v>
          </cell>
          <cell r="C339" t="str">
            <v>Amortissements des autres droits et valeurs incorporels</v>
          </cell>
          <cell r="D339" t="str">
            <v>OHADA</v>
          </cell>
          <cell r="E339" t="str">
            <v>281000 - Amortissements des immobilisations corporelles - OHADA</v>
          </cell>
          <cell r="F339">
            <v>281800</v>
          </cell>
          <cell r="G339" t="str">
            <v>0</v>
          </cell>
          <cell r="H339" t="str">
            <v>Asset</v>
          </cell>
          <cell r="I339" t="str">
            <v>Balance Sheet</v>
          </cell>
          <cell r="J339" t="str">
            <v>XAF</v>
          </cell>
          <cell r="K339" t="str">
            <v>Amortissements des autres immobilisations incorporelles</v>
          </cell>
        </row>
        <row r="340">
          <cell r="A340" t="str">
            <v>A339</v>
          </cell>
          <cell r="B340" t="str">
            <v>"282000 - Amortissements des terrains - OHADA"</v>
          </cell>
          <cell r="C340" t="str">
            <v>Amortissements des terrains</v>
          </cell>
          <cell r="D340" t="str">
            <v>OHADA</v>
          </cell>
          <cell r="E340" t="str">
            <v>280000 - Amortissements - OHADA</v>
          </cell>
          <cell r="F340">
            <v>282000</v>
          </cell>
          <cell r="G340" t="str">
            <v>1</v>
          </cell>
          <cell r="H340" t="str">
            <v>Asset</v>
          </cell>
          <cell r="I340" t="str">
            <v>Balance Sheet</v>
          </cell>
          <cell r="J340" t="str">
            <v>XAF</v>
          </cell>
          <cell r="K340" t="str">
            <v>Amortissements des terrains</v>
          </cell>
        </row>
        <row r="341">
          <cell r="A341" t="str">
            <v>A340</v>
          </cell>
          <cell r="B341" t="str">
            <v>"282400 - Amortissements des travaux de mise en valeur des terrains - OHADA"</v>
          </cell>
          <cell r="C341" t="str">
            <v>Amortissements des travaux de mise en valeur des terrains</v>
          </cell>
          <cell r="D341" t="str">
            <v>OHADA</v>
          </cell>
          <cell r="E341" t="str">
            <v>282000 - Amortissements des terrains - OHADA</v>
          </cell>
          <cell r="F341">
            <v>282400</v>
          </cell>
          <cell r="G341" t="str">
            <v>0</v>
          </cell>
          <cell r="H341" t="str">
            <v>Asset</v>
          </cell>
          <cell r="I341" t="str">
            <v>Balance Sheet</v>
          </cell>
          <cell r="J341" t="str">
            <v>XAF</v>
          </cell>
          <cell r="K341" t="str">
            <v>Amortissements des terrains</v>
          </cell>
        </row>
        <row r="342">
          <cell r="A342" t="str">
            <v>A341</v>
          </cell>
          <cell r="B342" t="str">
            <v>"283000 - Amortissements des bâtiments, installations techniques et agencements - OHADA"</v>
          </cell>
          <cell r="C342" t="str">
            <v>Amortissements des bâtiments, installations techniques et agencements</v>
          </cell>
          <cell r="D342" t="str">
            <v>OHADA</v>
          </cell>
          <cell r="E342" t="str">
            <v>280000 - Amortissements - OHADA</v>
          </cell>
          <cell r="F342">
            <v>283000</v>
          </cell>
          <cell r="G342" t="str">
            <v>1</v>
          </cell>
          <cell r="H342" t="str">
            <v>Asset</v>
          </cell>
          <cell r="I342" t="str">
            <v>Balance Sheet</v>
          </cell>
          <cell r="J342" t="str">
            <v>XAF</v>
          </cell>
          <cell r="K342" t="str">
            <v>Amortissements des bâtiments, installations techniques et agencements</v>
          </cell>
        </row>
        <row r="343">
          <cell r="A343" t="str">
            <v>A342</v>
          </cell>
          <cell r="B343" t="str">
            <v>"283100 - Amortissements des bâtiments industriels, agricoles, administratifs et commerciaux sur sol propre - OHADA"</v>
          </cell>
          <cell r="C343" t="str">
            <v>Amortissements des bâtiments industriels, agricoles, administratifs et commerciaux sur sol propre</v>
          </cell>
          <cell r="D343" t="str">
            <v>OHADA</v>
          </cell>
          <cell r="E343" t="str">
            <v>283000 - Amortissements des bâtiments, installations techniques et agencements - OHADA</v>
          </cell>
          <cell r="F343">
            <v>283100</v>
          </cell>
          <cell r="G343" t="str">
            <v>0</v>
          </cell>
          <cell r="H343" t="str">
            <v>Asset</v>
          </cell>
          <cell r="I343" t="str">
            <v>Balance Sheet</v>
          </cell>
          <cell r="J343" t="str">
            <v>XAF</v>
          </cell>
          <cell r="K343" t="str">
            <v>Amortissements des bâtiments</v>
          </cell>
        </row>
        <row r="344">
          <cell r="A344" t="str">
            <v>A343</v>
          </cell>
          <cell r="B344" t="str">
            <v>"283200 - Amortissements des bâtiments industriels, agricoles, administratifs et commerciaux sur sol d’autrui - OHADA"</v>
          </cell>
          <cell r="C344" t="str">
            <v>Amortissements des bâtiments industriels, agricoles, administratifs et commerciaux sur sol d’autrui</v>
          </cell>
          <cell r="D344" t="str">
            <v>OHADA</v>
          </cell>
          <cell r="E344" t="str">
            <v>283000 - Amortissements des bâtiments, installations techniques et agencements - OHADA</v>
          </cell>
          <cell r="F344">
            <v>283200</v>
          </cell>
          <cell r="G344" t="str">
            <v>0</v>
          </cell>
          <cell r="H344" t="str">
            <v>Asset</v>
          </cell>
          <cell r="I344" t="str">
            <v>Balance Sheet</v>
          </cell>
          <cell r="J344" t="str">
            <v>XAF</v>
          </cell>
          <cell r="K344" t="str">
            <v>Amortissements des bâtiments</v>
          </cell>
        </row>
        <row r="345">
          <cell r="A345" t="str">
            <v>A344</v>
          </cell>
          <cell r="B345" t="str">
            <v>"283300 - Amortissements des ouvrages d’infrastructure - OHADA"</v>
          </cell>
          <cell r="C345" t="str">
            <v>Amortissements des ouvrages d’infrastructure</v>
          </cell>
          <cell r="D345" t="str">
            <v>OHADA</v>
          </cell>
          <cell r="E345" t="str">
            <v>283000 - Amortissements des bâtiments, installations techniques et agencements - OHADA</v>
          </cell>
          <cell r="F345">
            <v>283300</v>
          </cell>
          <cell r="G345" t="str">
            <v>0</v>
          </cell>
          <cell r="H345" t="str">
            <v>Asset</v>
          </cell>
          <cell r="I345" t="str">
            <v>Balance Sheet</v>
          </cell>
          <cell r="J345" t="str">
            <v>XAF</v>
          </cell>
          <cell r="K345" t="str">
            <v>Amortissements des bâtiments</v>
          </cell>
        </row>
        <row r="346">
          <cell r="A346" t="str">
            <v>A345</v>
          </cell>
          <cell r="B346" t="str">
            <v>"283400 - Amortissements des aménagements, agencements et installations techniques - OHADA"</v>
          </cell>
          <cell r="C346" t="str">
            <v>Amortissements des aménagements, agencements et installations techniques</v>
          </cell>
          <cell r="D346" t="str">
            <v>OHADA</v>
          </cell>
          <cell r="E346" t="str">
            <v>283000 - Amortissements des bâtiments, installations techniques et agencements - OHADA</v>
          </cell>
          <cell r="F346">
            <v>283400</v>
          </cell>
          <cell r="G346" t="str">
            <v>0</v>
          </cell>
          <cell r="H346" t="str">
            <v>Asset</v>
          </cell>
          <cell r="I346" t="str">
            <v>Balance Sheet</v>
          </cell>
          <cell r="J346" t="str">
            <v>XAF</v>
          </cell>
          <cell r="K346" t="str">
            <v>Amortissements des aménagements, agencements et installations</v>
          </cell>
        </row>
        <row r="347">
          <cell r="A347" t="str">
            <v>A346</v>
          </cell>
          <cell r="B347" t="str">
            <v>"283500 - Amortissements des aménagements de bureaux - OHADA"</v>
          </cell>
          <cell r="C347" t="str">
            <v>Amortissements des aménagements de bureaux</v>
          </cell>
          <cell r="D347" t="str">
            <v>OHADA</v>
          </cell>
          <cell r="E347" t="str">
            <v>283000 - Amortissements des bâtiments, installations techniques et agencements - OHADA</v>
          </cell>
          <cell r="F347">
            <v>283500</v>
          </cell>
          <cell r="G347" t="str">
            <v>0</v>
          </cell>
          <cell r="H347" t="str">
            <v>Asset</v>
          </cell>
          <cell r="I347" t="str">
            <v>Balance Sheet</v>
          </cell>
          <cell r="J347" t="str">
            <v>XAF</v>
          </cell>
          <cell r="K347" t="str">
            <v>Amortissements des aménagements, agencements et installations</v>
          </cell>
        </row>
        <row r="348">
          <cell r="A348" t="str">
            <v>A347</v>
          </cell>
          <cell r="B348" t="str">
            <v>"283700 - Amortissements des bâtiments industriels, agricoles et commerciaux mis en concession - OHADA"</v>
          </cell>
          <cell r="C348" t="str">
            <v>Amortissements des bâtiments industriels, agricoles et commerciaux mis en concession</v>
          </cell>
          <cell r="D348" t="str">
            <v>OHADA</v>
          </cell>
          <cell r="E348" t="str">
            <v>283000 - Amortissements des bâtiments, installations techniques et agencements - OHADA</v>
          </cell>
          <cell r="F348">
            <v>283700</v>
          </cell>
          <cell r="G348" t="str">
            <v>0</v>
          </cell>
          <cell r="H348" t="str">
            <v>Asset</v>
          </cell>
          <cell r="I348" t="str">
            <v>Balance Sheet</v>
          </cell>
          <cell r="J348" t="str">
            <v>XAF</v>
          </cell>
          <cell r="K348" t="str">
            <v>Amortissements des bâtiments</v>
          </cell>
        </row>
        <row r="349">
          <cell r="A349" t="str">
            <v>A348</v>
          </cell>
          <cell r="B349" t="str">
            <v>"283800 - Amortissements des autres installations et agencements - OHADA"</v>
          </cell>
          <cell r="C349" t="str">
            <v>Amortissements des autres installations et agencements</v>
          </cell>
          <cell r="D349" t="str">
            <v>OHADA</v>
          </cell>
          <cell r="E349" t="str">
            <v>283000 - Amortissements des bâtiments, installations techniques et agencements - OHADA</v>
          </cell>
          <cell r="F349">
            <v>283800</v>
          </cell>
          <cell r="G349" t="str">
            <v>0</v>
          </cell>
          <cell r="H349" t="str">
            <v>Asset</v>
          </cell>
          <cell r="I349" t="str">
            <v>Balance Sheet</v>
          </cell>
          <cell r="J349" t="str">
            <v>XAF</v>
          </cell>
          <cell r="K349" t="str">
            <v>Amortissements des aménagements, agencements et installations</v>
          </cell>
        </row>
        <row r="350">
          <cell r="A350" t="str">
            <v>A349</v>
          </cell>
          <cell r="B350" t="str">
            <v>"284000 - Amortissements du matériel - OHADA"</v>
          </cell>
          <cell r="C350" t="str">
            <v>Amortissements du matériel</v>
          </cell>
          <cell r="D350" t="str">
            <v>OHADA</v>
          </cell>
          <cell r="E350" t="str">
            <v>280000 - Amortissements - OHADA</v>
          </cell>
          <cell r="F350">
            <v>284000</v>
          </cell>
          <cell r="G350" t="str">
            <v>1</v>
          </cell>
          <cell r="H350" t="str">
            <v>Asset</v>
          </cell>
          <cell r="I350" t="str">
            <v>Balance Sheet</v>
          </cell>
          <cell r="J350" t="str">
            <v>XAF</v>
          </cell>
          <cell r="K350" t="str">
            <v>Amortissements du matériel</v>
          </cell>
        </row>
        <row r="351">
          <cell r="A351" t="str">
            <v>A350</v>
          </cell>
          <cell r="B351" t="str">
            <v>"284100 - Amortissements du matériel et outillage industriel et commercial - OHADA"</v>
          </cell>
          <cell r="C351" t="str">
            <v>Amortissements du matériel et outillage industriel et commercial</v>
          </cell>
          <cell r="D351" t="str">
            <v>OHADA</v>
          </cell>
          <cell r="E351" t="str">
            <v>284000 - Amortissements du matériel - OHADA</v>
          </cell>
          <cell r="F351">
            <v>284100</v>
          </cell>
          <cell r="G351" t="str">
            <v>0</v>
          </cell>
          <cell r="H351" t="str">
            <v>Asset</v>
          </cell>
          <cell r="I351" t="str">
            <v>Balance Sheet</v>
          </cell>
          <cell r="J351" t="str">
            <v>XAF</v>
          </cell>
          <cell r="K351" t="str">
            <v>Amortissements du matériel, mobilier et actifs biologiques</v>
          </cell>
        </row>
        <row r="352">
          <cell r="A352" t="str">
            <v>A351</v>
          </cell>
          <cell r="B352" t="str">
            <v>"284200 - Amortissements du matériel et outillage agricole - OHADA"</v>
          </cell>
          <cell r="C352" t="str">
            <v>Amortissements du matériel et outillage agricole</v>
          </cell>
          <cell r="D352" t="str">
            <v>OHADA</v>
          </cell>
          <cell r="E352" t="str">
            <v>284000 - Amortissements du matériel - OHADA</v>
          </cell>
          <cell r="F352">
            <v>284200</v>
          </cell>
          <cell r="G352" t="str">
            <v>0</v>
          </cell>
          <cell r="H352" t="str">
            <v>Asset</v>
          </cell>
          <cell r="I352" t="str">
            <v>Balance Sheet</v>
          </cell>
          <cell r="J352" t="str">
            <v>XAF</v>
          </cell>
          <cell r="K352" t="str">
            <v>Amortissements du matériel, mobilier et actifs biologiques</v>
          </cell>
        </row>
        <row r="353">
          <cell r="A353" t="str">
            <v>A352</v>
          </cell>
          <cell r="B353" t="str">
            <v>"284300 - Amortissements du matériel d’emballage récupérable et identifiable - OHADA"</v>
          </cell>
          <cell r="C353" t="str">
            <v>Amortissements du matériel d’emballage récupérable et identifiable</v>
          </cell>
          <cell r="D353" t="str">
            <v>OHADA</v>
          </cell>
          <cell r="E353" t="str">
            <v>284000 - Amortissements du matériel - OHADA</v>
          </cell>
          <cell r="F353">
            <v>284300</v>
          </cell>
          <cell r="G353" t="str">
            <v>0</v>
          </cell>
          <cell r="H353" t="str">
            <v>Asset</v>
          </cell>
          <cell r="I353" t="str">
            <v>Balance Sheet</v>
          </cell>
          <cell r="J353" t="str">
            <v>XAF</v>
          </cell>
          <cell r="K353" t="str">
            <v>Amortissements du matériel, mobilier et actifs biologiques</v>
          </cell>
        </row>
        <row r="354">
          <cell r="A354" t="str">
            <v>A353</v>
          </cell>
          <cell r="B354" t="str">
            <v>"284400 - Amortissements du matériel et mobilier - OHADA"</v>
          </cell>
          <cell r="C354" t="str">
            <v>Amortissements du matériel et mobilier</v>
          </cell>
          <cell r="D354" t="str">
            <v>OHADA</v>
          </cell>
          <cell r="E354" t="str">
            <v>284000 - Amortissements du matériel - OHADA</v>
          </cell>
          <cell r="F354">
            <v>284400</v>
          </cell>
          <cell r="G354" t="str">
            <v>0</v>
          </cell>
          <cell r="H354" t="str">
            <v>Asset</v>
          </cell>
          <cell r="I354" t="str">
            <v>Balance Sheet</v>
          </cell>
          <cell r="J354" t="str">
            <v>XAF</v>
          </cell>
          <cell r="K354" t="str">
            <v>Amortissements du matériel, mobilier et actifs biologiques</v>
          </cell>
        </row>
        <row r="355">
          <cell r="A355" t="str">
            <v>A354</v>
          </cell>
          <cell r="B355" t="str">
            <v>"284500 - Amortissements du matériel de transport - OHADA"</v>
          </cell>
          <cell r="C355" t="str">
            <v>Amortissements du matériel de transport</v>
          </cell>
          <cell r="D355" t="str">
            <v>OHADA</v>
          </cell>
          <cell r="E355" t="str">
            <v>284000 - Amortissements du matériel - OHADA</v>
          </cell>
          <cell r="F355">
            <v>284500</v>
          </cell>
          <cell r="G355" t="str">
            <v>0</v>
          </cell>
          <cell r="H355" t="str">
            <v>Asset</v>
          </cell>
          <cell r="I355" t="str">
            <v>Balance Sheet</v>
          </cell>
          <cell r="J355" t="str">
            <v>XAF</v>
          </cell>
          <cell r="K355" t="str">
            <v>Amortissements du matériel de transport</v>
          </cell>
        </row>
        <row r="356">
          <cell r="A356" t="str">
            <v>A355</v>
          </cell>
          <cell r="B356" t="str">
            <v>"284600 - Amortissements des actifs biologiques - OHADA"</v>
          </cell>
          <cell r="C356" t="str">
            <v>Amortissements des actifs biologiques</v>
          </cell>
          <cell r="D356" t="str">
            <v>OHADA</v>
          </cell>
          <cell r="E356" t="str">
            <v>284000 - Amortissements du matériel - OHADA</v>
          </cell>
          <cell r="F356">
            <v>284600</v>
          </cell>
          <cell r="G356" t="str">
            <v>0</v>
          </cell>
          <cell r="H356" t="str">
            <v>Asset</v>
          </cell>
          <cell r="I356" t="str">
            <v>Balance Sheet</v>
          </cell>
          <cell r="J356" t="str">
            <v>XAF</v>
          </cell>
          <cell r="K356" t="str">
            <v>Amortissements du matériel, mobilier et actifs biologiques</v>
          </cell>
        </row>
        <row r="357">
          <cell r="A357" t="str">
            <v>A356</v>
          </cell>
          <cell r="B357" t="str">
            <v>"284700 - Amortissements des agencements et aménagements du matériel et des actifs biologiques - OHADA"</v>
          </cell>
          <cell r="C357" t="str">
            <v>Amortissements des agencements et aménagements du matériel et des actifs biologiques</v>
          </cell>
          <cell r="D357" t="str">
            <v>OHADA</v>
          </cell>
          <cell r="E357" t="str">
            <v>284000 - Amortissements du matériel - OHADA</v>
          </cell>
          <cell r="F357">
            <v>284700</v>
          </cell>
          <cell r="G357" t="str">
            <v>0</v>
          </cell>
          <cell r="H357" t="str">
            <v>Asset</v>
          </cell>
          <cell r="I357" t="str">
            <v>Balance Sheet</v>
          </cell>
          <cell r="J357" t="str">
            <v>XAF</v>
          </cell>
          <cell r="K357" t="str">
            <v>Amortissements du matériel, mobilier et actifs biologiques</v>
          </cell>
        </row>
        <row r="358">
          <cell r="A358" t="str">
            <v>A357</v>
          </cell>
          <cell r="B358" t="str">
            <v>"284800 - Amortissements des autres matériels - OHADA"</v>
          </cell>
          <cell r="C358" t="str">
            <v>Amortissements des autres matériels</v>
          </cell>
          <cell r="D358" t="str">
            <v>OHADA</v>
          </cell>
          <cell r="E358" t="str">
            <v>284000 - Amortissements du matériel - OHADA</v>
          </cell>
          <cell r="F358">
            <v>284800</v>
          </cell>
          <cell r="G358" t="str">
            <v>0</v>
          </cell>
          <cell r="H358" t="str">
            <v>Asset</v>
          </cell>
          <cell r="I358" t="str">
            <v>Balance Sheet</v>
          </cell>
          <cell r="J358" t="str">
            <v>XAF</v>
          </cell>
          <cell r="K358" t="str">
            <v>Amortissements du matériel, mobilier et actifs biologiques</v>
          </cell>
        </row>
        <row r="359">
          <cell r="A359" t="str">
            <v>A358</v>
          </cell>
          <cell r="B359" t="str">
            <v>"290000 - Dépréciations des immobilisations - OHADA"</v>
          </cell>
          <cell r="C359" t="str">
            <v>Dépréciations des immobilisations</v>
          </cell>
          <cell r="D359" t="str">
            <v>OHADA</v>
          </cell>
          <cell r="E359" t="str">
            <v>2 - Comptes d’actif immobilisé - OHADA</v>
          </cell>
          <cell r="F359">
            <v>290000</v>
          </cell>
          <cell r="G359" t="str">
            <v>1</v>
          </cell>
          <cell r="H359" t="str">
            <v>Asset</v>
          </cell>
          <cell r="I359" t="str">
            <v>Balance Sheet</v>
          </cell>
          <cell r="J359" t="str">
            <v>XAF</v>
          </cell>
          <cell r="K359" t="str">
            <v>Dépréciations des immobilisations</v>
          </cell>
        </row>
        <row r="360">
          <cell r="A360" t="str">
            <v>A359</v>
          </cell>
          <cell r="B360" t="str">
            <v>"291000 - Dépréciations des immobilisations incorporelles - OHADA"</v>
          </cell>
          <cell r="C360" t="str">
            <v>Dépréciations des immobilisations incorporelles</v>
          </cell>
          <cell r="D360" t="str">
            <v>OHADA</v>
          </cell>
          <cell r="E360" t="str">
            <v>290000 - Dépréciations des immobilisations - OHADA</v>
          </cell>
          <cell r="F360">
            <v>291000</v>
          </cell>
          <cell r="G360" t="str">
            <v>1</v>
          </cell>
          <cell r="H360" t="str">
            <v>Asset</v>
          </cell>
          <cell r="I360" t="str">
            <v>Balance Sheet</v>
          </cell>
          <cell r="J360" t="str">
            <v>XAF</v>
          </cell>
          <cell r="K360" t="str">
            <v>Dépréciations des immobilisations incorporelles</v>
          </cell>
        </row>
        <row r="361">
          <cell r="A361" t="str">
            <v>A360</v>
          </cell>
          <cell r="B361" t="str">
            <v>"291100 - Dépréciations des frais de développement - OHADA"</v>
          </cell>
          <cell r="C361" t="str">
            <v>Dépréciations des frais de développement</v>
          </cell>
          <cell r="D361" t="str">
            <v>OHADA</v>
          </cell>
          <cell r="E361" t="str">
            <v>291000 - Dépréciations des immobilisations incorporelles - OHADA</v>
          </cell>
          <cell r="F361">
            <v>291100</v>
          </cell>
          <cell r="G361" t="str">
            <v>0</v>
          </cell>
          <cell r="H361" t="str">
            <v>Asset</v>
          </cell>
          <cell r="I361" t="str">
            <v>Balance Sheet</v>
          </cell>
          <cell r="J361" t="str">
            <v>XAF</v>
          </cell>
          <cell r="K361" t="str">
            <v>Dépréciations des frais de développement</v>
          </cell>
        </row>
        <row r="362">
          <cell r="A362" t="str">
            <v>A361</v>
          </cell>
          <cell r="B362" t="str">
            <v>"291200 - Dépréciations des brevets, licences, concessions et droits similaires - OHADA"</v>
          </cell>
          <cell r="C362" t="str">
            <v>Dépréciations des brevets, licences, concessions et droits similaires</v>
          </cell>
          <cell r="D362" t="str">
            <v>OHADA</v>
          </cell>
          <cell r="E362" t="str">
            <v>291000 - Dépréciations des immobilisations incorporelles - OHADA</v>
          </cell>
          <cell r="F362">
            <v>291200</v>
          </cell>
          <cell r="G362" t="str">
            <v>0</v>
          </cell>
          <cell r="H362" t="str">
            <v>Asset</v>
          </cell>
          <cell r="I362" t="str">
            <v>Balance Sheet</v>
          </cell>
          <cell r="J362" t="str">
            <v>XAF</v>
          </cell>
          <cell r="K362" t="str">
            <v>Dépréciations des brevets, licences, concessions et droits similaires</v>
          </cell>
        </row>
        <row r="363">
          <cell r="A363" t="str">
            <v>A362</v>
          </cell>
          <cell r="B363" t="str">
            <v>"291300 - Dépréciations des logiciels et sites internet - OHADA"</v>
          </cell>
          <cell r="C363" t="str">
            <v>Dépréciations des logiciels et sites internet</v>
          </cell>
          <cell r="D363" t="str">
            <v>OHADA</v>
          </cell>
          <cell r="E363" t="str">
            <v>291000 - Dépréciations des immobilisations incorporelles - OHADA</v>
          </cell>
          <cell r="F363">
            <v>291300</v>
          </cell>
          <cell r="G363" t="str">
            <v>0</v>
          </cell>
          <cell r="H363" t="str">
            <v>Asset</v>
          </cell>
          <cell r="I363" t="str">
            <v>Balance Sheet</v>
          </cell>
          <cell r="J363" t="str">
            <v>XAF</v>
          </cell>
          <cell r="K363" t="str">
            <v>Dépréciations des brevets, licences, concessions et droits similaires</v>
          </cell>
        </row>
        <row r="364">
          <cell r="A364" t="str">
            <v>A363</v>
          </cell>
          <cell r="B364" t="str">
            <v>"291400 - Dépréciations des marques - OHADA"</v>
          </cell>
          <cell r="C364" t="str">
            <v>Dépréciations des marques</v>
          </cell>
          <cell r="D364" t="str">
            <v>OHADA</v>
          </cell>
          <cell r="E364" t="str">
            <v>291000 - Dépréciations des immobilisations incorporelles - OHADA</v>
          </cell>
          <cell r="F364">
            <v>291400</v>
          </cell>
          <cell r="G364" t="str">
            <v>0</v>
          </cell>
          <cell r="H364" t="str">
            <v>Asset</v>
          </cell>
          <cell r="I364" t="str">
            <v>Balance Sheet</v>
          </cell>
          <cell r="J364" t="str">
            <v>XAF</v>
          </cell>
          <cell r="K364" t="str">
            <v>Dépréciations des brevets, licences, concessions et droits similaires</v>
          </cell>
        </row>
        <row r="365">
          <cell r="A365" t="str">
            <v>A364</v>
          </cell>
          <cell r="B365" t="str">
            <v>"291500 - Dépréciations du fonds commercial - OHADA"</v>
          </cell>
          <cell r="C365" t="str">
            <v>Dépréciations du fonds commercial</v>
          </cell>
          <cell r="D365" t="str">
            <v>OHADA</v>
          </cell>
          <cell r="E365" t="str">
            <v>291000 - Dépréciations des immobilisations incorporelles - OHADA</v>
          </cell>
          <cell r="F365">
            <v>291500</v>
          </cell>
          <cell r="G365" t="str">
            <v>0</v>
          </cell>
          <cell r="H365" t="str">
            <v>Asset</v>
          </cell>
          <cell r="I365" t="str">
            <v>Balance Sheet</v>
          </cell>
          <cell r="J365" t="str">
            <v>XAF</v>
          </cell>
          <cell r="K365" t="str">
            <v>Dépréciations du fonds commercial et droit de bail</v>
          </cell>
        </row>
        <row r="366">
          <cell r="A366" t="str">
            <v>A365</v>
          </cell>
          <cell r="B366" t="str">
            <v>"291600 - Dépréciations du droit au bail - OHADA"</v>
          </cell>
          <cell r="C366" t="str">
            <v>Dépréciations du droit au bail</v>
          </cell>
          <cell r="D366" t="str">
            <v>OHADA</v>
          </cell>
          <cell r="E366" t="str">
            <v>291000 - Dépréciations des immobilisations incorporelles - OHADA</v>
          </cell>
          <cell r="F366">
            <v>291600</v>
          </cell>
          <cell r="G366" t="str">
            <v>0</v>
          </cell>
          <cell r="H366" t="str">
            <v>Asset</v>
          </cell>
          <cell r="I366" t="str">
            <v>Balance Sheet</v>
          </cell>
          <cell r="J366" t="str">
            <v>XAF</v>
          </cell>
          <cell r="K366" t="str">
            <v>Dépréciations du fonds commercial et droit de bail</v>
          </cell>
        </row>
        <row r="367">
          <cell r="A367" t="str">
            <v>A366</v>
          </cell>
          <cell r="B367" t="str">
            <v>"291700 - Dépréciations des investissements de création - OHADA"</v>
          </cell>
          <cell r="C367" t="str">
            <v>Dépréciations des investissements de création</v>
          </cell>
          <cell r="D367" t="str">
            <v>OHADA</v>
          </cell>
          <cell r="E367" t="str">
            <v>291000 - Dépréciations des immobilisations incorporelles - OHADA</v>
          </cell>
          <cell r="F367">
            <v>291700</v>
          </cell>
          <cell r="G367" t="str">
            <v>0</v>
          </cell>
          <cell r="H367" t="str">
            <v>Asset</v>
          </cell>
          <cell r="I367" t="str">
            <v>Balance Sheet</v>
          </cell>
          <cell r="J367" t="str">
            <v>XAF</v>
          </cell>
          <cell r="K367" t="str">
            <v>Dépréciations des autres immobilisations incorporelles</v>
          </cell>
        </row>
        <row r="368">
          <cell r="A368" t="str">
            <v>A367</v>
          </cell>
          <cell r="B368" t="str">
            <v>"291800 - Dépréciations des autres droits et valeurs incorporels - OHADA"</v>
          </cell>
          <cell r="C368" t="str">
            <v>Dépréciations des autres droits et valeurs incorporels</v>
          </cell>
          <cell r="D368" t="str">
            <v>OHADA</v>
          </cell>
          <cell r="E368" t="str">
            <v>291000 - Dépréciations des immobilisations incorporelles - OHADA</v>
          </cell>
          <cell r="F368">
            <v>291800</v>
          </cell>
          <cell r="G368" t="str">
            <v>0</v>
          </cell>
          <cell r="H368" t="str">
            <v>Asset</v>
          </cell>
          <cell r="I368" t="str">
            <v>Balance Sheet</v>
          </cell>
          <cell r="J368" t="str">
            <v>XAF</v>
          </cell>
          <cell r="K368" t="str">
            <v>Dépréciations des autres immobilisations incorporelles</v>
          </cell>
        </row>
        <row r="369">
          <cell r="A369" t="str">
            <v>A368</v>
          </cell>
          <cell r="B369" t="str">
            <v>"291900 - Dépréciations des immobilisations incorporelles en cours - OHADA"</v>
          </cell>
          <cell r="C369" t="str">
            <v>Dépréciations des immobilisations incorporelles en cours</v>
          </cell>
          <cell r="D369" t="str">
            <v>OHADA</v>
          </cell>
          <cell r="E369" t="str">
            <v>291000 - Dépréciations des immobilisations incorporelles - OHADA</v>
          </cell>
          <cell r="F369">
            <v>291900</v>
          </cell>
          <cell r="G369" t="str">
            <v>0</v>
          </cell>
          <cell r="H369" t="str">
            <v>Asset</v>
          </cell>
          <cell r="I369" t="str">
            <v>Balance Sheet</v>
          </cell>
          <cell r="J369" t="str">
            <v>XAF</v>
          </cell>
          <cell r="K369" t="str">
            <v>Dépréciations des autres immobilisations incorporelles</v>
          </cell>
        </row>
        <row r="370">
          <cell r="A370" t="str">
            <v>A369</v>
          </cell>
          <cell r="B370" t="str">
            <v>"292000 - Dépréciations des terrains - OHADA"</v>
          </cell>
          <cell r="C370" t="str">
            <v>Dépréciations des terrains</v>
          </cell>
          <cell r="D370" t="str">
            <v>OHADA</v>
          </cell>
          <cell r="E370" t="str">
            <v>290000 - Dépréciations des immobilisations - OHADA</v>
          </cell>
          <cell r="F370">
            <v>292000</v>
          </cell>
          <cell r="G370" t="str">
            <v>1</v>
          </cell>
          <cell r="H370" t="str">
            <v>Asset</v>
          </cell>
          <cell r="I370" t="str">
            <v>Balance Sheet</v>
          </cell>
          <cell r="J370" t="str">
            <v>XAF</v>
          </cell>
          <cell r="K370" t="str">
            <v>Dépréciations des terrains</v>
          </cell>
        </row>
        <row r="371">
          <cell r="A371" t="str">
            <v>A370</v>
          </cell>
          <cell r="B371" t="str">
            <v>"292100 - Dépréciations des terrains agricoles et forestiers - OHADA"</v>
          </cell>
          <cell r="C371" t="str">
            <v>Dépréciations des terrains agricoles et forestiers</v>
          </cell>
          <cell r="D371" t="str">
            <v>OHADA</v>
          </cell>
          <cell r="E371" t="str">
            <v>292000 - Dépréciations des terrains - OHADA</v>
          </cell>
          <cell r="F371">
            <v>292100</v>
          </cell>
          <cell r="G371" t="str">
            <v>0</v>
          </cell>
          <cell r="H371" t="str">
            <v>Asset</v>
          </cell>
          <cell r="I371" t="str">
            <v>Balance Sheet</v>
          </cell>
          <cell r="J371" t="str">
            <v>XAF</v>
          </cell>
          <cell r="K371" t="str">
            <v>Dépréciations des terrains</v>
          </cell>
        </row>
        <row r="372">
          <cell r="A372" t="str">
            <v>A371</v>
          </cell>
          <cell r="B372" t="str">
            <v>"292200 - Dépréciations des terrains nus - OHADA"</v>
          </cell>
          <cell r="C372" t="str">
            <v>Dépréciations des terrains nus</v>
          </cell>
          <cell r="D372" t="str">
            <v>OHADA</v>
          </cell>
          <cell r="E372" t="str">
            <v>292000 - Dépréciations des terrains - OHADA</v>
          </cell>
          <cell r="F372">
            <v>292200</v>
          </cell>
          <cell r="G372" t="str">
            <v>0</v>
          </cell>
          <cell r="H372" t="str">
            <v>Asset</v>
          </cell>
          <cell r="I372" t="str">
            <v>Balance Sheet</v>
          </cell>
          <cell r="J372" t="str">
            <v>XAF</v>
          </cell>
          <cell r="K372" t="str">
            <v>Dépréciations des terrains</v>
          </cell>
        </row>
        <row r="373">
          <cell r="A373" t="str">
            <v>A372</v>
          </cell>
          <cell r="B373" t="str">
            <v>"292300 - Dépréciations des terrains bâtis - OHADA"</v>
          </cell>
          <cell r="C373" t="str">
            <v>Dépréciations des terrains bâtis</v>
          </cell>
          <cell r="D373" t="str">
            <v>OHADA</v>
          </cell>
          <cell r="E373" t="str">
            <v>292000 - Dépréciations des terrains - OHADA</v>
          </cell>
          <cell r="F373">
            <v>292300</v>
          </cell>
          <cell r="G373" t="str">
            <v>0</v>
          </cell>
          <cell r="H373" t="str">
            <v>Asset</v>
          </cell>
          <cell r="I373" t="str">
            <v>Balance Sheet</v>
          </cell>
          <cell r="J373" t="str">
            <v>XAF</v>
          </cell>
          <cell r="K373" t="str">
            <v>Dépréciations des terrains</v>
          </cell>
        </row>
        <row r="374">
          <cell r="A374" t="str">
            <v>A373</v>
          </cell>
          <cell r="B374" t="str">
            <v>"292400 - Dépréciations des travaux de mise en valeur des terrains - OHADA"</v>
          </cell>
          <cell r="C374" t="str">
            <v>Dépréciations des travaux de mise en valeur des terrains</v>
          </cell>
          <cell r="D374" t="str">
            <v>OHADA</v>
          </cell>
          <cell r="E374" t="str">
            <v>292000 - Dépréciations des terrains - OHADA</v>
          </cell>
          <cell r="F374">
            <v>292400</v>
          </cell>
          <cell r="G374" t="str">
            <v>0</v>
          </cell>
          <cell r="H374" t="str">
            <v>Asset</v>
          </cell>
          <cell r="I374" t="str">
            <v>Balance Sheet</v>
          </cell>
          <cell r="J374" t="str">
            <v>XAF</v>
          </cell>
          <cell r="K374" t="str">
            <v>Dépréciations des terrains</v>
          </cell>
        </row>
        <row r="375">
          <cell r="A375" t="str">
            <v>A374</v>
          </cell>
          <cell r="B375" t="str">
            <v>"292500 - Dépréciations des terrains de gisement - OHADA"</v>
          </cell>
          <cell r="C375" t="str">
            <v>Dépréciations des terrains de gisement</v>
          </cell>
          <cell r="D375" t="str">
            <v>OHADA</v>
          </cell>
          <cell r="E375" t="str">
            <v>292000 - Dépréciations des terrains - OHADA</v>
          </cell>
          <cell r="F375">
            <v>292500</v>
          </cell>
          <cell r="G375" t="str">
            <v>0</v>
          </cell>
          <cell r="H375" t="str">
            <v>Asset</v>
          </cell>
          <cell r="I375" t="str">
            <v>Balance Sheet</v>
          </cell>
          <cell r="J375" t="str">
            <v>XAF</v>
          </cell>
          <cell r="K375" t="str">
            <v>Dépréciations des terrains</v>
          </cell>
        </row>
        <row r="376">
          <cell r="A376" t="str">
            <v>A375</v>
          </cell>
          <cell r="B376" t="str">
            <v>"292600 - Dépréciations des terrains aménagés - OHADA"</v>
          </cell>
          <cell r="C376" t="str">
            <v>Dépréciations des terrains aménagés</v>
          </cell>
          <cell r="D376" t="str">
            <v>OHADA</v>
          </cell>
          <cell r="E376" t="str">
            <v>292000 - Dépréciations des terrains - OHADA</v>
          </cell>
          <cell r="F376">
            <v>292600</v>
          </cell>
          <cell r="G376" t="str">
            <v>0</v>
          </cell>
          <cell r="H376" t="str">
            <v>Asset</v>
          </cell>
          <cell r="I376" t="str">
            <v>Balance Sheet</v>
          </cell>
          <cell r="J376" t="str">
            <v>XAF</v>
          </cell>
          <cell r="K376" t="str">
            <v>Dépréciations des terrains</v>
          </cell>
        </row>
        <row r="377">
          <cell r="A377" t="str">
            <v>A376</v>
          </cell>
          <cell r="B377" t="str">
            <v>"292700 - Dépréciations des terrains mis en concession - OHADA"</v>
          </cell>
          <cell r="C377" t="str">
            <v>Dépréciations des terrains mis en concession</v>
          </cell>
          <cell r="D377" t="str">
            <v>OHADA</v>
          </cell>
          <cell r="E377" t="str">
            <v>292000 - Dépréciations des terrains - OHADA</v>
          </cell>
          <cell r="F377">
            <v>292700</v>
          </cell>
          <cell r="G377" t="str">
            <v>0</v>
          </cell>
          <cell r="H377" t="str">
            <v>Asset</v>
          </cell>
          <cell r="I377" t="str">
            <v>Balance Sheet</v>
          </cell>
          <cell r="J377" t="str">
            <v>XAF</v>
          </cell>
          <cell r="K377" t="str">
            <v>Dépréciations des terrains</v>
          </cell>
        </row>
        <row r="378">
          <cell r="A378" t="str">
            <v>A377</v>
          </cell>
          <cell r="B378" t="str">
            <v>"292800 - Dépréciations des autres terrains - OHADA"</v>
          </cell>
          <cell r="C378" t="str">
            <v>Dépréciations des autres terrains</v>
          </cell>
          <cell r="D378" t="str">
            <v>OHADA</v>
          </cell>
          <cell r="E378" t="str">
            <v>292000 - Dépréciations des terrains - OHADA</v>
          </cell>
          <cell r="F378">
            <v>292800</v>
          </cell>
          <cell r="G378" t="str">
            <v>0</v>
          </cell>
          <cell r="H378" t="str">
            <v>Asset</v>
          </cell>
          <cell r="I378" t="str">
            <v>Balance Sheet</v>
          </cell>
          <cell r="J378" t="str">
            <v>XAF</v>
          </cell>
          <cell r="K378" t="str">
            <v>Dépréciations des terrains</v>
          </cell>
        </row>
        <row r="379">
          <cell r="A379" t="str">
            <v>A378</v>
          </cell>
          <cell r="B379" t="str">
            <v>"292900 - Dépréciations des aménagements de terrains en cours - OHADA"</v>
          </cell>
          <cell r="C379" t="str">
            <v>Dépréciations des aménagements de terrains en cours</v>
          </cell>
          <cell r="D379" t="str">
            <v>OHADA</v>
          </cell>
          <cell r="E379" t="str">
            <v>292000 - Dépréciations des terrains - OHADA</v>
          </cell>
          <cell r="F379">
            <v>292900</v>
          </cell>
          <cell r="G379" t="str">
            <v>0</v>
          </cell>
          <cell r="H379" t="str">
            <v>Asset</v>
          </cell>
          <cell r="I379" t="str">
            <v>Balance Sheet</v>
          </cell>
          <cell r="J379" t="str">
            <v>XAF</v>
          </cell>
          <cell r="K379" t="str">
            <v>Dépréciations des terrains</v>
          </cell>
        </row>
        <row r="380">
          <cell r="A380" t="str">
            <v>A379</v>
          </cell>
          <cell r="B380" t="str">
            <v>"293000 - Dépréciations des bâtiments, installations techniques et agencements - OHADA"</v>
          </cell>
          <cell r="C380" t="str">
            <v>Dépréciations des bâtiments, installations techniques et agencements</v>
          </cell>
          <cell r="D380" t="str">
            <v>OHADA</v>
          </cell>
          <cell r="E380" t="str">
            <v>290000 - Dépréciations des immobilisations - OHADA</v>
          </cell>
          <cell r="F380">
            <v>293000</v>
          </cell>
          <cell r="G380" t="str">
            <v>1</v>
          </cell>
          <cell r="H380" t="str">
            <v>Asset</v>
          </cell>
          <cell r="I380" t="str">
            <v>Balance Sheet</v>
          </cell>
          <cell r="J380" t="str">
            <v>XAF</v>
          </cell>
          <cell r="K380" t="str">
            <v>Dépréciations des bâtiments, installations techniques et agencements</v>
          </cell>
        </row>
        <row r="381">
          <cell r="A381" t="str">
            <v>A380</v>
          </cell>
          <cell r="B381" t="str">
            <v>"293100 - Dépréciations des bâtiments industriels, agricoles, administratifs et commerciaux sur sol propre - OHADA"</v>
          </cell>
          <cell r="C381" t="str">
            <v>Dépréciations des bâtiments industriels, agricoles, administratifs et commerciaux sur sol propre</v>
          </cell>
          <cell r="D381" t="str">
            <v>OHADA</v>
          </cell>
          <cell r="E381" t="str">
            <v>293000 - Dépréciations des bâtiments, installations techniques et agencements - OHADA</v>
          </cell>
          <cell r="F381">
            <v>293100</v>
          </cell>
          <cell r="G381" t="str">
            <v>0</v>
          </cell>
          <cell r="H381" t="str">
            <v>Asset</v>
          </cell>
          <cell r="I381" t="str">
            <v>Balance Sheet</v>
          </cell>
          <cell r="J381" t="str">
            <v>XAF</v>
          </cell>
          <cell r="K381" t="str">
            <v>Dépréciations des bâtiments, installations techniques et agencements</v>
          </cell>
        </row>
        <row r="382">
          <cell r="A382" t="str">
            <v>A381</v>
          </cell>
          <cell r="B382" t="str">
            <v>"293200 - Dépréciations des bâtiments industriels, agricoles, administratifs et commerciaux sur sol d’autrui - OHADA"</v>
          </cell>
          <cell r="C382" t="str">
            <v>Dépréciations des bâtiments industriels, agricoles, administratifs et commerciaux sur sol d’autrui</v>
          </cell>
          <cell r="D382" t="str">
            <v>OHADA</v>
          </cell>
          <cell r="E382" t="str">
            <v>293000 - Dépréciations des bâtiments, installations techniques et agencements - OHADA</v>
          </cell>
          <cell r="F382">
            <v>293200</v>
          </cell>
          <cell r="G382" t="str">
            <v>0</v>
          </cell>
          <cell r="H382" t="str">
            <v>Asset</v>
          </cell>
          <cell r="I382" t="str">
            <v>Balance Sheet</v>
          </cell>
          <cell r="J382" t="str">
            <v>XAF</v>
          </cell>
          <cell r="K382" t="str">
            <v>Dépréciations des bâtiments, installations techniques et agencements</v>
          </cell>
        </row>
        <row r="383">
          <cell r="A383" t="str">
            <v>A382</v>
          </cell>
          <cell r="B383" t="str">
            <v>"293300 - Dépréciations des ouvrages d’infrastructures - OHADA"</v>
          </cell>
          <cell r="C383" t="str">
            <v>Dépréciations des ouvrages d’infrastructures</v>
          </cell>
          <cell r="D383" t="str">
            <v>OHADA</v>
          </cell>
          <cell r="E383" t="str">
            <v>293000 - Dépréciations des bâtiments, installations techniques et agencements - OHADA</v>
          </cell>
          <cell r="F383">
            <v>293300</v>
          </cell>
          <cell r="G383" t="str">
            <v>0</v>
          </cell>
          <cell r="H383" t="str">
            <v>Asset</v>
          </cell>
          <cell r="I383" t="str">
            <v>Balance Sheet</v>
          </cell>
          <cell r="J383" t="str">
            <v>XAF</v>
          </cell>
          <cell r="K383" t="str">
            <v>Dépréciations des bâtiments, installations techniques et agencements</v>
          </cell>
        </row>
        <row r="384">
          <cell r="A384" t="str">
            <v>A383</v>
          </cell>
          <cell r="B384" t="str">
            <v>"293400 - Dépréciations des aménagements, agencements et installations techniques - OHADA"</v>
          </cell>
          <cell r="C384" t="str">
            <v>Dépréciations des aménagements, agencements et installations techniques</v>
          </cell>
          <cell r="D384" t="str">
            <v>OHADA</v>
          </cell>
          <cell r="E384" t="str">
            <v>293000 - Dépréciations des bâtiments, installations techniques et agencements - OHADA</v>
          </cell>
          <cell r="F384">
            <v>293400</v>
          </cell>
          <cell r="G384" t="str">
            <v>0</v>
          </cell>
          <cell r="H384" t="str">
            <v>Asset</v>
          </cell>
          <cell r="I384" t="str">
            <v>Balance Sheet</v>
          </cell>
          <cell r="J384" t="str">
            <v>XAF</v>
          </cell>
          <cell r="K384" t="str">
            <v>Dépréciations des bâtiments, installations techniques et agencements</v>
          </cell>
        </row>
        <row r="385">
          <cell r="A385" t="str">
            <v>A384</v>
          </cell>
          <cell r="B385" t="str">
            <v>"293500 - Dépréciations des aménagements de bureaux - OHADA"</v>
          </cell>
          <cell r="C385" t="str">
            <v>Dépréciations des aménagements de bureaux</v>
          </cell>
          <cell r="D385" t="str">
            <v>OHADA</v>
          </cell>
          <cell r="E385" t="str">
            <v>293000 - Dépréciations des bâtiments, installations techniques et agencements - OHADA</v>
          </cell>
          <cell r="F385">
            <v>293500</v>
          </cell>
          <cell r="G385" t="str">
            <v>0</v>
          </cell>
          <cell r="H385" t="str">
            <v>Asset</v>
          </cell>
          <cell r="I385" t="str">
            <v>Balance Sheet</v>
          </cell>
          <cell r="J385" t="str">
            <v>XAF</v>
          </cell>
          <cell r="K385" t="str">
            <v>Dépréciations des bâtiments, installations techniques et agencements</v>
          </cell>
        </row>
        <row r="386">
          <cell r="A386" t="str">
            <v>A385</v>
          </cell>
          <cell r="B386" t="str">
            <v>"293700 - Dépréciations des bâtiments industriels, agricoles et commerciaux mis en concession - OHADA"</v>
          </cell>
          <cell r="C386" t="str">
            <v>Dépréciations des bâtiments industriels, agricoles et commerciaux mis en concession</v>
          </cell>
          <cell r="D386" t="str">
            <v>OHADA</v>
          </cell>
          <cell r="E386" t="str">
            <v>293000 - Dépréciations des bâtiments, installations techniques et agencements - OHADA</v>
          </cell>
          <cell r="F386">
            <v>293700</v>
          </cell>
          <cell r="G386" t="str">
            <v>0</v>
          </cell>
          <cell r="H386" t="str">
            <v>Asset</v>
          </cell>
          <cell r="I386" t="str">
            <v>Balance Sheet</v>
          </cell>
          <cell r="J386" t="str">
            <v>XAF</v>
          </cell>
          <cell r="K386" t="str">
            <v>Dépréciations des bâtiments, installations techniques et agencements</v>
          </cell>
        </row>
        <row r="387">
          <cell r="A387" t="str">
            <v>A386</v>
          </cell>
          <cell r="B387" t="str">
            <v>"293800 - Dépréciations des autres installations et agencements - OHADA"</v>
          </cell>
          <cell r="C387" t="str">
            <v>Dépréciations des autres installations et agencements</v>
          </cell>
          <cell r="D387" t="str">
            <v>OHADA</v>
          </cell>
          <cell r="E387" t="str">
            <v>293000 - Dépréciations des bâtiments, installations techniques et agencements - OHADA</v>
          </cell>
          <cell r="F387">
            <v>293800</v>
          </cell>
          <cell r="G387" t="str">
            <v>0</v>
          </cell>
          <cell r="H387" t="str">
            <v>Asset</v>
          </cell>
          <cell r="I387" t="str">
            <v>Balance Sheet</v>
          </cell>
          <cell r="J387" t="str">
            <v>XAF</v>
          </cell>
          <cell r="K387" t="str">
            <v>Dépréciations des bâtiments, installations techniques et agencements</v>
          </cell>
        </row>
        <row r="388">
          <cell r="A388" t="str">
            <v>A387</v>
          </cell>
          <cell r="B388" t="str">
            <v>"293900 - Dépréciations des bâtiments et installations en cours - OHADA"</v>
          </cell>
          <cell r="C388" t="str">
            <v>Dépréciations des bâtiments et installations en cours</v>
          </cell>
          <cell r="D388" t="str">
            <v>OHADA</v>
          </cell>
          <cell r="E388" t="str">
            <v>293000 - Dépréciations des bâtiments, installations techniques et agencements - OHADA</v>
          </cell>
          <cell r="F388">
            <v>293900</v>
          </cell>
          <cell r="G388" t="str">
            <v>0</v>
          </cell>
          <cell r="H388" t="str">
            <v>Asset</v>
          </cell>
          <cell r="I388" t="str">
            <v>Balance Sheet</v>
          </cell>
          <cell r="J388" t="str">
            <v>XAF</v>
          </cell>
          <cell r="K388" t="str">
            <v>Dépréciations des bâtiments, installations techniques et agencements</v>
          </cell>
        </row>
        <row r="389">
          <cell r="A389" t="str">
            <v>A388</v>
          </cell>
          <cell r="B389" t="str">
            <v>"294000 - Dépréciations de matériel, du mobilier et de l’actif biologique - OHADA"</v>
          </cell>
          <cell r="C389" t="str">
            <v>Dépréciations de matériel, du mobilier et de l’actif biologique</v>
          </cell>
          <cell r="D389" t="str">
            <v>OHADA</v>
          </cell>
          <cell r="E389" t="str">
            <v>290000 - Dépréciations des immobilisations - OHADA</v>
          </cell>
          <cell r="F389">
            <v>294000</v>
          </cell>
          <cell r="G389" t="str">
            <v>1</v>
          </cell>
          <cell r="H389" t="str">
            <v>Asset</v>
          </cell>
          <cell r="I389" t="str">
            <v>Balance Sheet</v>
          </cell>
          <cell r="J389" t="str">
            <v>XAF</v>
          </cell>
          <cell r="K389" t="str">
            <v>Dépréciations de matériel, du mobilier et de l’actif biologique</v>
          </cell>
        </row>
        <row r="390">
          <cell r="A390" t="str">
            <v>A389</v>
          </cell>
          <cell r="B390" t="str">
            <v>"294100 - Dépréciations du matériel et outillage industriel et commercial - OHADA"</v>
          </cell>
          <cell r="C390" t="str">
            <v>Dépréciations du matériel et outillage industriel et commercial</v>
          </cell>
          <cell r="D390" t="str">
            <v>OHADA</v>
          </cell>
          <cell r="E390" t="str">
            <v>294000 - Dépréciations de matériel, du mobilier et de l’actif biologique - OHADA</v>
          </cell>
          <cell r="F390">
            <v>294100</v>
          </cell>
          <cell r="G390" t="str">
            <v>0</v>
          </cell>
          <cell r="H390" t="str">
            <v>Asset</v>
          </cell>
          <cell r="I390" t="str">
            <v>Balance Sheet</v>
          </cell>
          <cell r="J390" t="str">
            <v>XAF</v>
          </cell>
          <cell r="K390" t="str">
            <v>Dépréciations de matériel, du mobilier et de l’actif biologique</v>
          </cell>
        </row>
        <row r="391">
          <cell r="A391" t="str">
            <v>A390</v>
          </cell>
          <cell r="B391" t="str">
            <v>"294200 - Dépréciations du matériel et outillage agricole - OHADA"</v>
          </cell>
          <cell r="C391" t="str">
            <v>Dépréciations du matériel et outillage agricole</v>
          </cell>
          <cell r="D391" t="str">
            <v>OHADA</v>
          </cell>
          <cell r="E391" t="str">
            <v>294000 - Dépréciations de matériel, du mobilier et de l’actif biologique - OHADA</v>
          </cell>
          <cell r="F391">
            <v>294200</v>
          </cell>
          <cell r="G391" t="str">
            <v>0</v>
          </cell>
          <cell r="H391" t="str">
            <v>Asset</v>
          </cell>
          <cell r="I391" t="str">
            <v>Balance Sheet</v>
          </cell>
          <cell r="J391" t="str">
            <v>XAF</v>
          </cell>
          <cell r="K391" t="str">
            <v>Dépréciations de matériel, du mobilier et de l’actif biologique</v>
          </cell>
        </row>
        <row r="392">
          <cell r="A392" t="str">
            <v>A391</v>
          </cell>
          <cell r="B392" t="str">
            <v>"294300 - Dépréciations du matériel d’emballage récupérable et identifiable - OHADA"</v>
          </cell>
          <cell r="C392" t="str">
            <v>Dépréciations du matériel d’emballage récupérable et identifiable</v>
          </cell>
          <cell r="D392" t="str">
            <v>OHADA</v>
          </cell>
          <cell r="E392" t="str">
            <v>294000 - Dépréciations de matériel, du mobilier et de l’actif biologique - OHADA</v>
          </cell>
          <cell r="F392">
            <v>294300</v>
          </cell>
          <cell r="G392" t="str">
            <v>0</v>
          </cell>
          <cell r="H392" t="str">
            <v>Asset</v>
          </cell>
          <cell r="I392" t="str">
            <v>Balance Sheet</v>
          </cell>
          <cell r="J392" t="str">
            <v>XAF</v>
          </cell>
          <cell r="K392" t="str">
            <v>Dépréciations de matériel, du mobilier et de l’actif biologique</v>
          </cell>
        </row>
        <row r="393">
          <cell r="A393" t="str">
            <v>A392</v>
          </cell>
          <cell r="B393" t="str">
            <v>"294400 - Dépréciations du matériel et mobilier - OHADA"</v>
          </cell>
          <cell r="C393" t="str">
            <v>Dépréciations du matériel et mobilier</v>
          </cell>
          <cell r="D393" t="str">
            <v>OHADA</v>
          </cell>
          <cell r="E393" t="str">
            <v>294000 - Dépréciations de matériel, du mobilier et de l’actif biologique - OHADA</v>
          </cell>
          <cell r="F393">
            <v>294400</v>
          </cell>
          <cell r="G393" t="str">
            <v>0</v>
          </cell>
          <cell r="H393" t="str">
            <v>Asset</v>
          </cell>
          <cell r="I393" t="str">
            <v>Balance Sheet</v>
          </cell>
          <cell r="J393" t="str">
            <v>XAF</v>
          </cell>
          <cell r="K393" t="str">
            <v>Dépréciations de matériel, du mobilier et de l’actif biologique</v>
          </cell>
        </row>
        <row r="394">
          <cell r="A394" t="str">
            <v>A393</v>
          </cell>
          <cell r="B394" t="str">
            <v>"294500 - Dépréciations du matériel de transport - OHADA"</v>
          </cell>
          <cell r="C394" t="str">
            <v>Dépréciations du matériel de transport</v>
          </cell>
          <cell r="D394" t="str">
            <v>OHADA</v>
          </cell>
          <cell r="E394" t="str">
            <v>294000 - Dépréciations de matériel, du mobilier et de l’actif biologique - OHADA</v>
          </cell>
          <cell r="F394">
            <v>294500</v>
          </cell>
          <cell r="G394" t="str">
            <v>0</v>
          </cell>
          <cell r="H394" t="str">
            <v>Asset</v>
          </cell>
          <cell r="I394" t="str">
            <v>Balance Sheet</v>
          </cell>
          <cell r="J394" t="str">
            <v>XAF</v>
          </cell>
          <cell r="K394" t="str">
            <v>Dépréciations du matériel de transport</v>
          </cell>
        </row>
        <row r="395">
          <cell r="A395" t="str">
            <v>A394</v>
          </cell>
          <cell r="B395" t="str">
            <v>"294600 - Dépréciations des actifs biologiques - OHADA"</v>
          </cell>
          <cell r="C395" t="str">
            <v>Dépréciations des actifs biologiques</v>
          </cell>
          <cell r="D395" t="str">
            <v>OHADA</v>
          </cell>
          <cell r="E395" t="str">
            <v>294000 - Dépréciations de matériel, du mobilier et de l’actif biologique - OHADA</v>
          </cell>
          <cell r="F395">
            <v>294600</v>
          </cell>
          <cell r="G395" t="str">
            <v>0</v>
          </cell>
          <cell r="H395" t="str">
            <v>Asset</v>
          </cell>
          <cell r="I395" t="str">
            <v>Balance Sheet</v>
          </cell>
          <cell r="J395" t="str">
            <v>XAF</v>
          </cell>
          <cell r="K395" t="str">
            <v>Dépréciations de matériel, du mobilier et de l’actif biologique</v>
          </cell>
        </row>
        <row r="396">
          <cell r="A396" t="str">
            <v>A395</v>
          </cell>
          <cell r="B396" t="str">
            <v>"294700 - Dépréciations des agencements et aménagements du matériel et des actifs biologiques - OHADA"</v>
          </cell>
          <cell r="C396" t="str">
            <v>Dépréciations des agencements et aménagements du matériel et des actifs biologiques</v>
          </cell>
          <cell r="D396" t="str">
            <v>OHADA</v>
          </cell>
          <cell r="E396" t="str">
            <v>294000 - Dépréciations de matériel, du mobilier et de l’actif biologique - OHADA</v>
          </cell>
          <cell r="F396">
            <v>294700</v>
          </cell>
          <cell r="G396" t="str">
            <v>0</v>
          </cell>
          <cell r="H396" t="str">
            <v>Asset</v>
          </cell>
          <cell r="I396" t="str">
            <v>Balance Sheet</v>
          </cell>
          <cell r="J396" t="str">
            <v>XAF</v>
          </cell>
          <cell r="K396" t="str">
            <v>Dépréciations de matériel, du mobilier et de l’actif biologique</v>
          </cell>
        </row>
        <row r="397">
          <cell r="A397" t="str">
            <v>A396</v>
          </cell>
          <cell r="B397" t="str">
            <v>"294800 - Dépréciations des autres matériels - OHADA"</v>
          </cell>
          <cell r="C397" t="str">
            <v>Dépréciations des autres matériels</v>
          </cell>
          <cell r="D397" t="str">
            <v>OHADA</v>
          </cell>
          <cell r="E397" t="str">
            <v>294000 - Dépréciations de matériel, du mobilier et de l’actif biologique - OHADA</v>
          </cell>
          <cell r="F397">
            <v>294800</v>
          </cell>
          <cell r="G397" t="str">
            <v>0</v>
          </cell>
          <cell r="H397" t="str">
            <v>Asset</v>
          </cell>
          <cell r="I397" t="str">
            <v>Balance Sheet</v>
          </cell>
          <cell r="J397" t="str">
            <v>XAF</v>
          </cell>
          <cell r="K397" t="str">
            <v>Dépréciations de matériel, du mobilier et de l’actif biologique</v>
          </cell>
        </row>
        <row r="398">
          <cell r="A398" t="str">
            <v>A397</v>
          </cell>
          <cell r="B398" t="str">
            <v>"294900 - Dépréciations de matériel en cours - OHADA"</v>
          </cell>
          <cell r="C398" t="str">
            <v>Dépréciations de matériel en cours</v>
          </cell>
          <cell r="D398" t="str">
            <v>OHADA</v>
          </cell>
          <cell r="E398" t="str">
            <v>294000 - Dépréciations de matériel, du mobilier et de l’actif biologique - OHADA</v>
          </cell>
          <cell r="F398">
            <v>294900</v>
          </cell>
          <cell r="G398" t="str">
            <v>0</v>
          </cell>
          <cell r="H398" t="str">
            <v>Asset</v>
          </cell>
          <cell r="I398" t="str">
            <v>Balance Sheet</v>
          </cell>
          <cell r="J398" t="str">
            <v>XAF</v>
          </cell>
          <cell r="K398" t="str">
            <v>Dépréciations de matériel, du mobilier et de l’actif biologique</v>
          </cell>
        </row>
        <row r="399">
          <cell r="A399" t="str">
            <v>A398</v>
          </cell>
          <cell r="B399" t="str">
            <v>"295000 - Dépréciations des avances et acomptes versés sur immobilisations - OHADA"</v>
          </cell>
          <cell r="C399" t="str">
            <v>Dépréciations des avances et acomptes versés sur immobilisations</v>
          </cell>
          <cell r="D399" t="str">
            <v>OHADA</v>
          </cell>
          <cell r="E399" t="str">
            <v>290000 - Dépréciations des immobilisations - OHADA</v>
          </cell>
          <cell r="F399">
            <v>295000</v>
          </cell>
          <cell r="G399" t="str">
            <v>1</v>
          </cell>
          <cell r="H399" t="str">
            <v>Asset</v>
          </cell>
          <cell r="I399" t="str">
            <v>Balance Sheet</v>
          </cell>
          <cell r="J399" t="str">
            <v>XAF</v>
          </cell>
          <cell r="K399" t="str">
            <v>Dépréciations des avances et acomptes versés sur immobilisations</v>
          </cell>
        </row>
        <row r="400">
          <cell r="A400" t="str">
            <v>A399</v>
          </cell>
          <cell r="B400" t="str">
            <v>"295100 - Dépréciations des avances et acomptes versés sur immobilisations incorporelles - OHADA"</v>
          </cell>
          <cell r="C400" t="str">
            <v>Dépréciations des avances et acomptes versés sur immobilisations incorporelles</v>
          </cell>
          <cell r="D400" t="str">
            <v>OHADA</v>
          </cell>
          <cell r="E400" t="str">
            <v>295000 - Dépréciations des avances et acomptes versés sur immobilisations - OHADA</v>
          </cell>
          <cell r="F400">
            <v>295100</v>
          </cell>
          <cell r="G400" t="str">
            <v>0</v>
          </cell>
          <cell r="H400" t="str">
            <v>Asset</v>
          </cell>
          <cell r="I400" t="str">
            <v>Balance Sheet</v>
          </cell>
          <cell r="J400" t="str">
            <v>XAF</v>
          </cell>
          <cell r="K400" t="str">
            <v>Dépréciations des avances et acomptes versés sur immobilisations</v>
          </cell>
        </row>
        <row r="401">
          <cell r="A401" t="str">
            <v>A400</v>
          </cell>
          <cell r="B401" t="str">
            <v>"295200 - Dépréciations des avances et acomptes versés sur immobilisations corporelles - OHADA"</v>
          </cell>
          <cell r="C401" t="str">
            <v>Dépréciations des avances et acomptes versés sur immobilisations corporelles</v>
          </cell>
          <cell r="D401" t="str">
            <v>OHADA</v>
          </cell>
          <cell r="E401" t="str">
            <v>295000 - Dépréciations des avances et acomptes versés sur immobilisations - OHADA</v>
          </cell>
          <cell r="F401">
            <v>295200</v>
          </cell>
          <cell r="G401" t="str">
            <v>0</v>
          </cell>
          <cell r="H401" t="str">
            <v>Asset</v>
          </cell>
          <cell r="I401" t="str">
            <v>Balance Sheet</v>
          </cell>
          <cell r="J401" t="str">
            <v>XAF</v>
          </cell>
          <cell r="K401" t="str">
            <v>Dépréciations des avances et acomptes versés sur immobilisations</v>
          </cell>
        </row>
        <row r="402">
          <cell r="A402" t="str">
            <v>A401</v>
          </cell>
          <cell r="B402" t="str">
            <v>"296000 - Dépréciations des titres de participation - OHADA"</v>
          </cell>
          <cell r="C402" t="str">
            <v>Dépréciations des titres de participation</v>
          </cell>
          <cell r="D402" t="str">
            <v>OHADA</v>
          </cell>
          <cell r="E402" t="str">
            <v>290000 - Dépréciations des immobilisations - OHADA</v>
          </cell>
          <cell r="F402">
            <v>296000</v>
          </cell>
          <cell r="G402" t="str">
            <v>1</v>
          </cell>
          <cell r="H402" t="str">
            <v>Asset</v>
          </cell>
          <cell r="I402" t="str">
            <v>Balance Sheet</v>
          </cell>
          <cell r="J402" t="str">
            <v>XAF</v>
          </cell>
          <cell r="K402" t="str">
            <v>Dépréciations des titres de participation</v>
          </cell>
        </row>
        <row r="403">
          <cell r="A403" t="str">
            <v>A402</v>
          </cell>
          <cell r="B403" t="str">
            <v>"296100 - Dépréciations des titres de participation dans des sociétés sous contrôle exclusif - OHADA"</v>
          </cell>
          <cell r="C403" t="str">
            <v>Dépréciations des titres de participation dans des sociétés sous contrôle exclusif</v>
          </cell>
          <cell r="D403" t="str">
            <v>OHADA</v>
          </cell>
          <cell r="E403" t="str">
            <v>296000 - Dépréciations des titres de participation - OHADA</v>
          </cell>
          <cell r="F403">
            <v>296100</v>
          </cell>
          <cell r="G403" t="str">
            <v>0</v>
          </cell>
          <cell r="H403" t="str">
            <v>Asset</v>
          </cell>
          <cell r="I403" t="str">
            <v>Balance Sheet</v>
          </cell>
          <cell r="J403" t="str">
            <v>XAF</v>
          </cell>
          <cell r="K403" t="str">
            <v>Dépréciations des titres de participation</v>
          </cell>
        </row>
        <row r="404">
          <cell r="A404" t="str">
            <v>A403</v>
          </cell>
          <cell r="B404" t="str">
            <v>"296200 - Dépréciations des titres de participation dans les sociétés sous contrôle conjoint - OHADA"</v>
          </cell>
          <cell r="C404" t="str">
            <v>Dépréciations des titres de participation dans les sociétés sous contrôle conjoint</v>
          </cell>
          <cell r="D404" t="str">
            <v>OHADA</v>
          </cell>
          <cell r="E404" t="str">
            <v>296000 - Dépréciations des titres de participation - OHADA</v>
          </cell>
          <cell r="F404">
            <v>296200</v>
          </cell>
          <cell r="G404" t="str">
            <v>0</v>
          </cell>
          <cell r="H404" t="str">
            <v>Asset</v>
          </cell>
          <cell r="I404" t="str">
            <v>Balance Sheet</v>
          </cell>
          <cell r="J404" t="str">
            <v>XAF</v>
          </cell>
          <cell r="K404" t="str">
            <v>Dépréciations des titres de participation</v>
          </cell>
        </row>
        <row r="405">
          <cell r="A405" t="str">
            <v>A404</v>
          </cell>
          <cell r="B405" t="str">
            <v>"296300 - Dépréciations des titres de participation dans les sociétés conférant une influence notable - OHADA"</v>
          </cell>
          <cell r="C405" t="str">
            <v>Dépréciations des titres de participation dans les sociétés conférant une influence notable</v>
          </cell>
          <cell r="D405" t="str">
            <v>OHADA</v>
          </cell>
          <cell r="E405" t="str">
            <v>296000 - Dépréciations des titres de participation - OHADA</v>
          </cell>
          <cell r="F405">
            <v>296300</v>
          </cell>
          <cell r="G405" t="str">
            <v>0</v>
          </cell>
          <cell r="H405" t="str">
            <v>Asset</v>
          </cell>
          <cell r="I405" t="str">
            <v>Balance Sheet</v>
          </cell>
          <cell r="J405" t="str">
            <v>XAF</v>
          </cell>
          <cell r="K405" t="str">
            <v>Dépréciations des titres de participation</v>
          </cell>
        </row>
        <row r="406">
          <cell r="A406" t="str">
            <v>A405</v>
          </cell>
          <cell r="B406" t="str">
            <v>"296500 - Dépréciations des participations dans des organismes professionnels - OHADA"</v>
          </cell>
          <cell r="C406" t="str">
            <v>Dépréciations des participations dans des organismes professionnels</v>
          </cell>
          <cell r="D406" t="str">
            <v>OHADA</v>
          </cell>
          <cell r="E406" t="str">
            <v>296000 - Dépréciations des titres de participation - OHADA</v>
          </cell>
          <cell r="F406">
            <v>296500</v>
          </cell>
          <cell r="G406" t="str">
            <v>0</v>
          </cell>
          <cell r="H406" t="str">
            <v>Asset</v>
          </cell>
          <cell r="I406" t="str">
            <v>Balance Sheet</v>
          </cell>
          <cell r="J406" t="str">
            <v>XAF</v>
          </cell>
          <cell r="K406" t="str">
            <v>Dépréciations des titres de participation</v>
          </cell>
        </row>
        <row r="407">
          <cell r="A407" t="str">
            <v>A406</v>
          </cell>
          <cell r="B407" t="str">
            <v>"296600 - Dépréciations des parts dans des GIE - OHADA"</v>
          </cell>
          <cell r="C407" t="str">
            <v>Dépréciations des parts dans des GIE</v>
          </cell>
          <cell r="D407" t="str">
            <v>OHADA</v>
          </cell>
          <cell r="E407" t="str">
            <v>296000 - Dépréciations des titres de participation - OHADA</v>
          </cell>
          <cell r="F407">
            <v>296600</v>
          </cell>
          <cell r="G407" t="str">
            <v>0</v>
          </cell>
          <cell r="H407" t="str">
            <v>Asset</v>
          </cell>
          <cell r="I407" t="str">
            <v>Balance Sheet</v>
          </cell>
          <cell r="J407" t="str">
            <v>XAF</v>
          </cell>
          <cell r="K407" t="str">
            <v>Dépréciations des titres de participation</v>
          </cell>
        </row>
        <row r="408">
          <cell r="A408" t="str">
            <v>A407</v>
          </cell>
          <cell r="B408" t="str">
            <v>"296800 - Dépréciations des autres titres de participation - OHADA"</v>
          </cell>
          <cell r="C408" t="str">
            <v>Dépréciations des autres titres de participation</v>
          </cell>
          <cell r="D408" t="str">
            <v>OHADA</v>
          </cell>
          <cell r="E408" t="str">
            <v>296000 - Dépréciations des titres de participation - OHADA</v>
          </cell>
          <cell r="F408">
            <v>296800</v>
          </cell>
          <cell r="G408" t="str">
            <v>0</v>
          </cell>
          <cell r="H408" t="str">
            <v>Asset</v>
          </cell>
          <cell r="I408" t="str">
            <v>Balance Sheet</v>
          </cell>
          <cell r="J408" t="str">
            <v>XAF</v>
          </cell>
          <cell r="K408" t="str">
            <v>Dépréciations des titres de participation</v>
          </cell>
        </row>
        <row r="409">
          <cell r="A409" t="str">
            <v>A408</v>
          </cell>
          <cell r="B409" t="str">
            <v>"297000 - Dépréciations des autres immobilisations financières - OHADA"</v>
          </cell>
          <cell r="C409" t="str">
            <v>Dépréciations des autres immobilisations financières</v>
          </cell>
          <cell r="D409" t="str">
            <v>OHADA</v>
          </cell>
          <cell r="E409" t="str">
            <v>290000 - Dépréciations des immobilisations - OHADA</v>
          </cell>
          <cell r="F409">
            <v>297000</v>
          </cell>
          <cell r="G409" t="str">
            <v>1</v>
          </cell>
          <cell r="H409" t="str">
            <v>Asset</v>
          </cell>
          <cell r="I409" t="str">
            <v>Balance Sheet</v>
          </cell>
          <cell r="J409" t="str">
            <v>XAF</v>
          </cell>
          <cell r="K409" t="str">
            <v>Dépréciations des autres immobilisations financières</v>
          </cell>
        </row>
        <row r="410">
          <cell r="A410" t="str">
            <v>A409</v>
          </cell>
          <cell r="B410" t="str">
            <v>"297100 - Dépréciations des prêts et créances - OHADA"</v>
          </cell>
          <cell r="C410" t="str">
            <v>Dépréciations des prêts et créances</v>
          </cell>
          <cell r="D410" t="str">
            <v>OHADA</v>
          </cell>
          <cell r="E410" t="str">
            <v>297000 - Dépréciations des autres immobilisations financières - OHADA</v>
          </cell>
          <cell r="F410">
            <v>297100</v>
          </cell>
          <cell r="G410" t="str">
            <v>0</v>
          </cell>
          <cell r="H410" t="str">
            <v>Asset</v>
          </cell>
          <cell r="I410" t="str">
            <v>Balance Sheet</v>
          </cell>
          <cell r="J410" t="str">
            <v>XAF</v>
          </cell>
          <cell r="K410" t="str">
            <v>Dépréciations des autres immobilisations financières</v>
          </cell>
        </row>
        <row r="411">
          <cell r="A411" t="str">
            <v>A410</v>
          </cell>
          <cell r="B411" t="str">
            <v>"297200 - Dépréciations des prêts au personnel - OHADA"</v>
          </cell>
          <cell r="C411" t="str">
            <v>Dépréciations des prêts au personnel</v>
          </cell>
          <cell r="D411" t="str">
            <v>OHADA</v>
          </cell>
          <cell r="E411" t="str">
            <v>297000 - Dépréciations des autres immobilisations financières - OHADA</v>
          </cell>
          <cell r="F411">
            <v>297200</v>
          </cell>
          <cell r="G411" t="str">
            <v>0</v>
          </cell>
          <cell r="H411" t="str">
            <v>Asset</v>
          </cell>
          <cell r="I411" t="str">
            <v>Balance Sheet</v>
          </cell>
          <cell r="J411" t="str">
            <v>XAF</v>
          </cell>
          <cell r="K411" t="str">
            <v>Dépréciations des autres immobilisations financières</v>
          </cell>
        </row>
        <row r="412">
          <cell r="A412" t="str">
            <v>A411</v>
          </cell>
          <cell r="B412" t="str">
            <v>"297300 - Dépréciations des créances sur l’État - OHADA"</v>
          </cell>
          <cell r="C412" t="str">
            <v>Dépréciations des créances sur l’État</v>
          </cell>
          <cell r="D412" t="str">
            <v>OHADA</v>
          </cell>
          <cell r="E412" t="str">
            <v>297000 - Dépréciations des autres immobilisations financières - OHADA</v>
          </cell>
          <cell r="F412">
            <v>297300</v>
          </cell>
          <cell r="G412" t="str">
            <v>0</v>
          </cell>
          <cell r="H412" t="str">
            <v>Asset</v>
          </cell>
          <cell r="I412" t="str">
            <v>Balance Sheet</v>
          </cell>
          <cell r="J412" t="str">
            <v>XAF</v>
          </cell>
          <cell r="K412" t="str">
            <v>Dépréciations des autres immobilisations financières</v>
          </cell>
        </row>
        <row r="413">
          <cell r="A413" t="str">
            <v>A412</v>
          </cell>
          <cell r="B413" t="str">
            <v>"297400 - Dépréciations des titres immobilisés - OHADA"</v>
          </cell>
          <cell r="C413" t="str">
            <v>Dépréciations des titres immobilisés</v>
          </cell>
          <cell r="D413" t="str">
            <v>OHADA</v>
          </cell>
          <cell r="E413" t="str">
            <v>297000 - Dépréciations des autres immobilisations financières - OHADA</v>
          </cell>
          <cell r="F413">
            <v>297400</v>
          </cell>
          <cell r="G413" t="str">
            <v>0</v>
          </cell>
          <cell r="H413" t="str">
            <v>Asset</v>
          </cell>
          <cell r="I413" t="str">
            <v>Balance Sheet</v>
          </cell>
          <cell r="J413" t="str">
            <v>XAF</v>
          </cell>
          <cell r="K413" t="str">
            <v>Dépréciations des autres immobilisations financières</v>
          </cell>
        </row>
        <row r="414">
          <cell r="A414" t="str">
            <v>A413</v>
          </cell>
          <cell r="B414" t="str">
            <v>"297500 - Dépréciations des dépôts et cautionnements versés - OHADA"</v>
          </cell>
          <cell r="C414" t="str">
            <v>Dépréciations des dépôts et cautionnements versés</v>
          </cell>
          <cell r="D414" t="str">
            <v>OHADA</v>
          </cell>
          <cell r="E414" t="str">
            <v>297000 - Dépréciations des autres immobilisations financières - OHADA</v>
          </cell>
          <cell r="F414">
            <v>297500</v>
          </cell>
          <cell r="G414" t="str">
            <v>0</v>
          </cell>
          <cell r="H414" t="str">
            <v>Asset</v>
          </cell>
          <cell r="I414" t="str">
            <v>Balance Sheet</v>
          </cell>
          <cell r="J414" t="str">
            <v>XAF</v>
          </cell>
          <cell r="K414" t="str">
            <v>Dépréciations des autres immobilisations financières</v>
          </cell>
        </row>
        <row r="415">
          <cell r="A415" t="str">
            <v>A414</v>
          </cell>
          <cell r="B415" t="str">
            <v>"297700 - Dépréciations des créances rattachées à des participations et avances à des GIE - OHADA"</v>
          </cell>
          <cell r="C415" t="str">
            <v>Dépréciations des créances rattachées à des participations et avances à des GIE</v>
          </cell>
          <cell r="D415" t="str">
            <v>OHADA</v>
          </cell>
          <cell r="E415" t="str">
            <v>297000 - Dépréciations des autres immobilisations financières - OHADA</v>
          </cell>
          <cell r="F415">
            <v>297700</v>
          </cell>
          <cell r="G415" t="str">
            <v>0</v>
          </cell>
          <cell r="H415" t="str">
            <v>Asset</v>
          </cell>
          <cell r="I415" t="str">
            <v>Balance Sheet</v>
          </cell>
          <cell r="J415" t="str">
            <v>XAF</v>
          </cell>
          <cell r="K415" t="str">
            <v>Dépréciations des autres immobilisations financières</v>
          </cell>
        </row>
        <row r="416">
          <cell r="A416" t="str">
            <v>A415</v>
          </cell>
          <cell r="B416" t="str">
            <v>"297800 - Dépréciations des créances financières diverses - OHADA"</v>
          </cell>
          <cell r="C416" t="str">
            <v>Dépréciations des créances financières diverses</v>
          </cell>
          <cell r="D416" t="str">
            <v>OHADA</v>
          </cell>
          <cell r="E416" t="str">
            <v>297000 - Dépréciations des autres immobilisations financières - OHADA</v>
          </cell>
          <cell r="F416">
            <v>297800</v>
          </cell>
          <cell r="G416" t="str">
            <v>0</v>
          </cell>
          <cell r="H416" t="str">
            <v>Asset</v>
          </cell>
          <cell r="I416" t="str">
            <v>Balance Sheet</v>
          </cell>
          <cell r="J416" t="str">
            <v>XAF</v>
          </cell>
          <cell r="K416" t="str">
            <v>Dépréciations des autres immobilisations financières</v>
          </cell>
        </row>
        <row r="417">
          <cell r="A417" t="str">
            <v>A416</v>
          </cell>
          <cell r="B417" t="str">
            <v>"230000 - Bâtiments, installations techniques et agencements - OHADA"</v>
          </cell>
          <cell r="C417" t="str">
            <v>Bâtiments, installations techniques et agencements</v>
          </cell>
          <cell r="D417" t="str">
            <v>OHADA</v>
          </cell>
          <cell r="E417" t="str">
            <v>2 - Comptes d’actif immobilisé - OHADA</v>
          </cell>
          <cell r="F417">
            <v>230000</v>
          </cell>
          <cell r="G417" t="str">
            <v>1</v>
          </cell>
          <cell r="H417" t="str">
            <v>Asset</v>
          </cell>
          <cell r="I417" t="str">
            <v>Balance Sheet</v>
          </cell>
          <cell r="J417" t="str">
            <v>XAF</v>
          </cell>
        </row>
        <row r="418">
          <cell r="A418" t="str">
            <v>A417</v>
          </cell>
          <cell r="B418" t="str">
            <v>"231000 - Bâtiments industriels, agricoles, administratifs et commerciaux sur sol propre - OHADA"</v>
          </cell>
          <cell r="C418" t="str">
            <v>Bâtiments industriels, agricoles, administratifs et commerciaux sur sol propre</v>
          </cell>
          <cell r="D418" t="str">
            <v>OHADA</v>
          </cell>
          <cell r="E418" t="str">
            <v>230000 - Bâtiments, installations techniques et agencements - OHADA</v>
          </cell>
          <cell r="F418">
            <v>231000</v>
          </cell>
          <cell r="G418" t="str">
            <v>1</v>
          </cell>
          <cell r="H418" t="str">
            <v>Asset</v>
          </cell>
          <cell r="I418" t="str">
            <v>Balance Sheet</v>
          </cell>
          <cell r="J418" t="str">
            <v>XAF</v>
          </cell>
          <cell r="K418" t="str">
            <v>Bâtiments</v>
          </cell>
        </row>
        <row r="419">
          <cell r="A419" t="str">
            <v>A418</v>
          </cell>
          <cell r="B419" t="str">
            <v>"231100 - Bâtiments industriels - OHADA"</v>
          </cell>
          <cell r="C419" t="str">
            <v>Bâtiments industriels</v>
          </cell>
          <cell r="D419" t="str">
            <v>OHADA</v>
          </cell>
          <cell r="E419" t="str">
            <v>231000 - Bâtiments industriels, agricoles, administratifs et commerciaux sur sol propre - OHADA</v>
          </cell>
          <cell r="F419">
            <v>231100</v>
          </cell>
          <cell r="G419" t="str">
            <v>0</v>
          </cell>
          <cell r="H419" t="str">
            <v>Asset</v>
          </cell>
          <cell r="I419" t="str">
            <v>Balance Sheet</v>
          </cell>
          <cell r="J419" t="str">
            <v>XAF</v>
          </cell>
          <cell r="K419" t="str">
            <v>Bâtiments</v>
          </cell>
        </row>
        <row r="420">
          <cell r="A420" t="str">
            <v>A419</v>
          </cell>
          <cell r="B420" t="str">
            <v>"231200 - Bâtiments agricoles - OHADA"</v>
          </cell>
          <cell r="C420" t="str">
            <v>Bâtiments agricoles</v>
          </cell>
          <cell r="D420" t="str">
            <v>OHADA</v>
          </cell>
          <cell r="E420" t="str">
            <v>231000 - Bâtiments industriels, agricoles, administratifs et commerciaux sur sol propre - OHADA</v>
          </cell>
          <cell r="F420">
            <v>231200</v>
          </cell>
          <cell r="G420" t="str">
            <v>0</v>
          </cell>
          <cell r="H420" t="str">
            <v>Asset</v>
          </cell>
          <cell r="I420" t="str">
            <v>Balance Sheet</v>
          </cell>
          <cell r="J420" t="str">
            <v>XAF</v>
          </cell>
          <cell r="K420" t="str">
            <v>Bâtiments</v>
          </cell>
        </row>
        <row r="421">
          <cell r="A421" t="str">
            <v>A420</v>
          </cell>
          <cell r="B421" t="str">
            <v>"231300 - Bâtiments administratifs et commerciaux - OHADA"</v>
          </cell>
          <cell r="C421" t="str">
            <v>Bâtiments administratifs et commerciaux</v>
          </cell>
          <cell r="D421" t="str">
            <v>OHADA</v>
          </cell>
          <cell r="E421" t="str">
            <v>231000 - Bâtiments industriels, agricoles, administratifs et commerciaux sur sol propre - OHADA</v>
          </cell>
          <cell r="F421">
            <v>231300</v>
          </cell>
          <cell r="G421" t="str">
            <v>0</v>
          </cell>
          <cell r="H421" t="str">
            <v>Asset</v>
          </cell>
          <cell r="I421" t="str">
            <v>Balance Sheet</v>
          </cell>
          <cell r="J421" t="str">
            <v>XAF</v>
          </cell>
          <cell r="K421" t="str">
            <v>Bâtiments</v>
          </cell>
        </row>
        <row r="422">
          <cell r="A422" t="str">
            <v>A421</v>
          </cell>
          <cell r="B422" t="str">
            <v>"231400 - Bâtiments affectés au logement du personnel - OHADA"</v>
          </cell>
          <cell r="C422" t="str">
            <v>Bâtiments affectés au logement du personnel</v>
          </cell>
          <cell r="D422" t="str">
            <v>OHADA</v>
          </cell>
          <cell r="E422" t="str">
            <v>231000 - Bâtiments industriels, agricoles, administratifs et commerciaux sur sol propre - OHADA</v>
          </cell>
          <cell r="F422">
            <v>231400</v>
          </cell>
          <cell r="G422" t="str">
            <v>0</v>
          </cell>
          <cell r="H422" t="str">
            <v>Asset</v>
          </cell>
          <cell r="I422" t="str">
            <v>Balance Sheet</v>
          </cell>
          <cell r="J422" t="str">
            <v>XAF</v>
          </cell>
          <cell r="K422" t="str">
            <v>Bâtiments</v>
          </cell>
        </row>
        <row r="423">
          <cell r="A423" t="str">
            <v>A422</v>
          </cell>
          <cell r="B423" t="str">
            <v>"231500 - Bâtiments immeubles de placement - OHADA"</v>
          </cell>
          <cell r="C423" t="str">
            <v>Bâtiments immeubles de placement</v>
          </cell>
          <cell r="D423" t="str">
            <v>OHADA</v>
          </cell>
          <cell r="E423" t="str">
            <v>231000 - Bâtiments industriels, agricoles, administratifs et commerciaux sur sol propre - OHADA</v>
          </cell>
          <cell r="F423">
            <v>231500</v>
          </cell>
          <cell r="G423" t="str">
            <v>0</v>
          </cell>
          <cell r="H423" t="str">
            <v>Asset</v>
          </cell>
          <cell r="I423" t="str">
            <v>Balance Sheet</v>
          </cell>
          <cell r="J423" t="str">
            <v>XAF</v>
          </cell>
          <cell r="K423" t="str">
            <v>Bâtiments</v>
          </cell>
        </row>
        <row r="424">
          <cell r="A424" t="str">
            <v>A423</v>
          </cell>
          <cell r="B424" t="str">
            <v>"231600 - Bâtiments de location acquisition - OHADA"</v>
          </cell>
          <cell r="C424" t="str">
            <v>Bâtiments de location acquisition</v>
          </cell>
          <cell r="D424" t="str">
            <v>OHADA</v>
          </cell>
          <cell r="E424" t="str">
            <v>231000 - Bâtiments industriels, agricoles, administratifs et commerciaux sur sol propre - OHADA</v>
          </cell>
          <cell r="F424">
            <v>231600</v>
          </cell>
          <cell r="G424" t="str">
            <v>0</v>
          </cell>
          <cell r="H424" t="str">
            <v>Asset</v>
          </cell>
          <cell r="I424" t="str">
            <v>Balance Sheet</v>
          </cell>
          <cell r="J424" t="str">
            <v>XAF</v>
          </cell>
          <cell r="K424" t="str">
            <v>Bâtiments</v>
          </cell>
        </row>
        <row r="425">
          <cell r="A425" t="str">
            <v>A424</v>
          </cell>
          <cell r="B425" t="str">
            <v>"232000 - Bâtiments industriels, agricoles, administratifs et commerciaux sur sol d’autrui - OHADA"</v>
          </cell>
          <cell r="C425" t="str">
            <v>Bâtiments industriels, agricoles, administratifs et commerciaux sur sol d’autrui</v>
          </cell>
          <cell r="D425" t="str">
            <v>OHADA</v>
          </cell>
          <cell r="E425" t="str">
            <v>230000 - Bâtiments, installations techniques et agencements - OHADA</v>
          </cell>
          <cell r="F425">
            <v>232000</v>
          </cell>
          <cell r="G425" t="str">
            <v>1</v>
          </cell>
          <cell r="H425" t="str">
            <v>Asset</v>
          </cell>
          <cell r="I425" t="str">
            <v>Balance Sheet</v>
          </cell>
          <cell r="J425" t="str">
            <v>XAF</v>
          </cell>
          <cell r="K425" t="str">
            <v>Bâtiments</v>
          </cell>
        </row>
        <row r="426">
          <cell r="A426" t="str">
            <v>A425</v>
          </cell>
          <cell r="B426" t="str">
            <v>"232100 - Bâtiments industriels - OHADA"</v>
          </cell>
          <cell r="C426" t="str">
            <v>Bâtiments industriels</v>
          </cell>
          <cell r="D426" t="str">
            <v>OHADA</v>
          </cell>
          <cell r="E426" t="str">
            <v>232000 - Bâtiments industriels, agricoles, administratifs et commerciaux sur sol d’autrui - OHADA</v>
          </cell>
          <cell r="F426">
            <v>232100</v>
          </cell>
          <cell r="G426" t="str">
            <v>0</v>
          </cell>
          <cell r="H426" t="str">
            <v>Asset</v>
          </cell>
          <cell r="I426" t="str">
            <v>Balance Sheet</v>
          </cell>
          <cell r="J426" t="str">
            <v>XAF</v>
          </cell>
          <cell r="K426" t="str">
            <v>Bâtiments</v>
          </cell>
        </row>
        <row r="427">
          <cell r="A427" t="str">
            <v>A426</v>
          </cell>
          <cell r="B427" t="str">
            <v>"232200 - Bâtiments agricoles - OHADA"</v>
          </cell>
          <cell r="C427" t="str">
            <v>Bâtiments agricoles</v>
          </cell>
          <cell r="D427" t="str">
            <v>OHADA</v>
          </cell>
          <cell r="E427" t="str">
            <v>232000 - Bâtiments industriels, agricoles, administratifs et commerciaux sur sol d’autrui - OHADA</v>
          </cell>
          <cell r="F427">
            <v>232200</v>
          </cell>
          <cell r="G427" t="str">
            <v>0</v>
          </cell>
          <cell r="H427" t="str">
            <v>Asset</v>
          </cell>
          <cell r="I427" t="str">
            <v>Balance Sheet</v>
          </cell>
          <cell r="J427" t="str">
            <v>XAF</v>
          </cell>
          <cell r="K427" t="str">
            <v>Bâtiments</v>
          </cell>
        </row>
        <row r="428">
          <cell r="A428" t="str">
            <v>A427</v>
          </cell>
          <cell r="B428" t="str">
            <v>"232300 - Bâtiments administratifs et commerciaux - OHADA"</v>
          </cell>
          <cell r="C428" t="str">
            <v>Bâtiments administratifs et commerciaux</v>
          </cell>
          <cell r="D428" t="str">
            <v>OHADA</v>
          </cell>
          <cell r="E428" t="str">
            <v>232000 - Bâtiments industriels, agricoles, administratifs et commerciaux sur sol d’autrui - OHADA</v>
          </cell>
          <cell r="F428">
            <v>232300</v>
          </cell>
          <cell r="G428" t="str">
            <v>0</v>
          </cell>
          <cell r="H428" t="str">
            <v>Asset</v>
          </cell>
          <cell r="I428" t="str">
            <v>Balance Sheet</v>
          </cell>
          <cell r="J428" t="str">
            <v>XAF</v>
          </cell>
          <cell r="K428" t="str">
            <v>Bâtiments</v>
          </cell>
        </row>
        <row r="429">
          <cell r="A429" t="str">
            <v>A428</v>
          </cell>
          <cell r="B429" t="str">
            <v>"232400 - Bâtiments affectés au logement du personnel - OHADA"</v>
          </cell>
          <cell r="C429" t="str">
            <v>Bâtiments affectés au logement du personnel</v>
          </cell>
          <cell r="D429" t="str">
            <v>OHADA</v>
          </cell>
          <cell r="E429" t="str">
            <v>232000 - Bâtiments industriels, agricoles, administratifs et commerciaux sur sol d’autrui - OHADA</v>
          </cell>
          <cell r="F429">
            <v>232400</v>
          </cell>
          <cell r="G429" t="str">
            <v>0</v>
          </cell>
          <cell r="H429" t="str">
            <v>Asset</v>
          </cell>
          <cell r="I429" t="str">
            <v>Balance Sheet</v>
          </cell>
          <cell r="J429" t="str">
            <v>XAF</v>
          </cell>
          <cell r="K429" t="str">
            <v>Bâtiments</v>
          </cell>
        </row>
        <row r="430">
          <cell r="A430" t="str">
            <v>A429</v>
          </cell>
          <cell r="B430" t="str">
            <v>"232500 - Bâtiments immeubles de placement - OHADA"</v>
          </cell>
          <cell r="C430" t="str">
            <v>Bâtiments immeubles de placement</v>
          </cell>
          <cell r="D430" t="str">
            <v>OHADA</v>
          </cell>
          <cell r="E430" t="str">
            <v>232000 - Bâtiments industriels, agricoles, administratifs et commerciaux sur sol d’autrui - OHADA</v>
          </cell>
          <cell r="F430">
            <v>232500</v>
          </cell>
          <cell r="G430" t="str">
            <v>0</v>
          </cell>
          <cell r="H430" t="str">
            <v>Asset</v>
          </cell>
          <cell r="I430" t="str">
            <v>Balance Sheet</v>
          </cell>
          <cell r="J430" t="str">
            <v>XAF</v>
          </cell>
          <cell r="K430" t="str">
            <v>Bâtiments</v>
          </cell>
        </row>
        <row r="431">
          <cell r="A431" t="str">
            <v>A430</v>
          </cell>
          <cell r="B431" t="str">
            <v>"232600 - Bâtiments de location acquisition - OHADA"</v>
          </cell>
          <cell r="C431" t="str">
            <v>Bâtiments de location acquisition</v>
          </cell>
          <cell r="D431" t="str">
            <v>OHADA</v>
          </cell>
          <cell r="E431" t="str">
            <v>232000 - Bâtiments industriels, agricoles, administratifs et commerciaux sur sol d’autrui - OHADA</v>
          </cell>
          <cell r="F431">
            <v>232600</v>
          </cell>
          <cell r="G431" t="str">
            <v>0</v>
          </cell>
          <cell r="H431" t="str">
            <v>Asset</v>
          </cell>
          <cell r="I431" t="str">
            <v>Balance Sheet</v>
          </cell>
          <cell r="J431" t="str">
            <v>XAF</v>
          </cell>
          <cell r="K431" t="str">
            <v>Bâtiments</v>
          </cell>
        </row>
        <row r="432">
          <cell r="A432" t="str">
            <v>A431</v>
          </cell>
          <cell r="B432" t="str">
            <v>"233000 - Ouvrages d’infrastructure - OHADA"</v>
          </cell>
          <cell r="C432" t="str">
            <v>Ouvrages d’infrastructure</v>
          </cell>
          <cell r="D432" t="str">
            <v>OHADA</v>
          </cell>
          <cell r="E432" t="str">
            <v>230000 - Bâtiments, installations techniques et agencements - OHADA</v>
          </cell>
          <cell r="F432">
            <v>233000</v>
          </cell>
          <cell r="G432" t="str">
            <v>1</v>
          </cell>
          <cell r="H432" t="str">
            <v>Asset</v>
          </cell>
          <cell r="I432" t="str">
            <v>Balance Sheet</v>
          </cell>
          <cell r="J432" t="str">
            <v>XAF</v>
          </cell>
          <cell r="K432" t="str">
            <v>Bâtiments</v>
          </cell>
        </row>
        <row r="433">
          <cell r="A433" t="str">
            <v>A432</v>
          </cell>
          <cell r="B433" t="str">
            <v>"233100 - Voies de terre - OHADA"</v>
          </cell>
          <cell r="C433" t="str">
            <v>Voies de terre</v>
          </cell>
          <cell r="D433" t="str">
            <v>OHADA</v>
          </cell>
          <cell r="E433" t="str">
            <v>233000 - Ouvrages d’infrastructure - OHADA</v>
          </cell>
          <cell r="F433">
            <v>233100</v>
          </cell>
          <cell r="G433" t="str">
            <v>0</v>
          </cell>
          <cell r="H433" t="str">
            <v>Asset</v>
          </cell>
          <cell r="I433" t="str">
            <v>Balance Sheet</v>
          </cell>
          <cell r="J433" t="str">
            <v>XAF</v>
          </cell>
          <cell r="K433" t="str">
            <v>Bâtiments</v>
          </cell>
        </row>
        <row r="434">
          <cell r="A434" t="str">
            <v>A433</v>
          </cell>
          <cell r="B434" t="str">
            <v>"233200 - Voies de fer - OHADA"</v>
          </cell>
          <cell r="C434" t="str">
            <v>Voies de fer</v>
          </cell>
          <cell r="D434" t="str">
            <v>OHADA</v>
          </cell>
          <cell r="E434" t="str">
            <v>233000 - Ouvrages d’infrastructure - OHADA</v>
          </cell>
          <cell r="F434">
            <v>233200</v>
          </cell>
          <cell r="G434" t="str">
            <v>0</v>
          </cell>
          <cell r="H434" t="str">
            <v>Asset</v>
          </cell>
          <cell r="I434" t="str">
            <v>Balance Sheet</v>
          </cell>
          <cell r="J434" t="str">
            <v>XAF</v>
          </cell>
          <cell r="K434" t="str">
            <v>Bâtiments</v>
          </cell>
        </row>
        <row r="435">
          <cell r="A435" t="str">
            <v>A434</v>
          </cell>
          <cell r="B435" t="str">
            <v>"233300 - Voies d’eau - OHADA"</v>
          </cell>
          <cell r="C435" t="str">
            <v>Voies d’eau</v>
          </cell>
          <cell r="D435" t="str">
            <v>OHADA</v>
          </cell>
          <cell r="E435" t="str">
            <v>233000 - Ouvrages d’infrastructure - OHADA</v>
          </cell>
          <cell r="F435">
            <v>233300</v>
          </cell>
          <cell r="G435" t="str">
            <v>0</v>
          </cell>
          <cell r="H435" t="str">
            <v>Asset</v>
          </cell>
          <cell r="I435" t="str">
            <v>Balance Sheet</v>
          </cell>
          <cell r="J435" t="str">
            <v>XAF</v>
          </cell>
          <cell r="K435" t="str">
            <v>Bâtiments</v>
          </cell>
        </row>
        <row r="436">
          <cell r="A436" t="str">
            <v>A435</v>
          </cell>
          <cell r="B436" t="str">
            <v>"233400 - Barrages, Digues - OHADA"</v>
          </cell>
          <cell r="C436" t="str">
            <v>Barrages, Digues</v>
          </cell>
          <cell r="D436" t="str">
            <v>OHADA</v>
          </cell>
          <cell r="E436" t="str">
            <v>233000 - Ouvrages d’infrastructure - OHADA</v>
          </cell>
          <cell r="F436">
            <v>233400</v>
          </cell>
          <cell r="G436" t="str">
            <v>0</v>
          </cell>
          <cell r="H436" t="str">
            <v>Asset</v>
          </cell>
          <cell r="I436" t="str">
            <v>Balance Sheet</v>
          </cell>
          <cell r="J436" t="str">
            <v>XAF</v>
          </cell>
          <cell r="K436" t="str">
            <v>Bâtiments</v>
          </cell>
        </row>
        <row r="437">
          <cell r="A437" t="str">
            <v>A436</v>
          </cell>
          <cell r="B437" t="str">
            <v>"233500 - Pistes d’aérodrome - OHADA"</v>
          </cell>
          <cell r="C437" t="str">
            <v>Pistes d’aérodrome</v>
          </cell>
          <cell r="D437" t="str">
            <v>OHADA</v>
          </cell>
          <cell r="E437" t="str">
            <v>233000 - Ouvrages d’infrastructure - OHADA</v>
          </cell>
          <cell r="F437">
            <v>233500</v>
          </cell>
          <cell r="G437" t="str">
            <v>0</v>
          </cell>
          <cell r="H437" t="str">
            <v>Asset</v>
          </cell>
          <cell r="I437" t="str">
            <v>Balance Sheet</v>
          </cell>
          <cell r="J437" t="str">
            <v>XAF</v>
          </cell>
          <cell r="K437" t="str">
            <v>Bâtiments</v>
          </cell>
        </row>
        <row r="438">
          <cell r="A438" t="str">
            <v>A437</v>
          </cell>
          <cell r="B438" t="str">
            <v>"233800 - Autres ouvrages d’infrastructures - OHADA"</v>
          </cell>
          <cell r="C438" t="str">
            <v>Autres ouvrages d’infrastructures</v>
          </cell>
          <cell r="D438" t="str">
            <v>OHADA</v>
          </cell>
          <cell r="E438" t="str">
            <v>233000 - Ouvrages d’infrastructure - OHADA</v>
          </cell>
          <cell r="F438">
            <v>233800</v>
          </cell>
          <cell r="G438" t="str">
            <v>0</v>
          </cell>
          <cell r="H438" t="str">
            <v>Asset</v>
          </cell>
          <cell r="I438" t="str">
            <v>Balance Sheet</v>
          </cell>
          <cell r="J438" t="str">
            <v>XAF</v>
          </cell>
          <cell r="K438" t="str">
            <v>Bâtiments</v>
          </cell>
        </row>
        <row r="439">
          <cell r="A439" t="str">
            <v>A438</v>
          </cell>
          <cell r="B439" t="str">
            <v>"234000 - Aménagements, agencements et installations techniques - OHADA"</v>
          </cell>
          <cell r="C439" t="str">
            <v>Aménagements, agencements et installations techniques</v>
          </cell>
          <cell r="D439" t="str">
            <v>OHADA</v>
          </cell>
          <cell r="E439" t="str">
            <v>230000 - Bâtiments, installations techniques et agencements - OHADA</v>
          </cell>
          <cell r="F439">
            <v>234000</v>
          </cell>
          <cell r="G439" t="str">
            <v>1</v>
          </cell>
          <cell r="H439" t="str">
            <v>Asset</v>
          </cell>
          <cell r="I439" t="str">
            <v>Balance Sheet</v>
          </cell>
          <cell r="J439" t="str">
            <v>XAF</v>
          </cell>
          <cell r="K439" t="str">
            <v>Aménagement, agencements et Installations </v>
          </cell>
        </row>
        <row r="440">
          <cell r="A440" t="str">
            <v>A439</v>
          </cell>
          <cell r="B440" t="str">
            <v>"234100 - Installations complexes spécialisées sur sol propre - OHADA"</v>
          </cell>
          <cell r="C440" t="str">
            <v>Installations complexes spécialisées sur sol propre</v>
          </cell>
          <cell r="D440" t="str">
            <v>OHADA</v>
          </cell>
          <cell r="E440" t="str">
            <v>234000 - Aménagements, agencements et installations techniques - OHADA</v>
          </cell>
          <cell r="F440">
            <v>234100</v>
          </cell>
          <cell r="G440" t="str">
            <v>0</v>
          </cell>
          <cell r="H440" t="str">
            <v>Asset</v>
          </cell>
          <cell r="I440" t="str">
            <v>Balance Sheet</v>
          </cell>
          <cell r="J440" t="str">
            <v>XAF</v>
          </cell>
          <cell r="K440" t="str">
            <v>Aménagement, agencements et Installations </v>
          </cell>
        </row>
        <row r="441">
          <cell r="A441" t="str">
            <v>A440</v>
          </cell>
          <cell r="B441" t="str">
            <v>"234200 - Installations complexes spécialisées sur sol d’autrui - OHADA"</v>
          </cell>
          <cell r="C441" t="str">
            <v>Installations complexes spécialisées sur sol d’autrui</v>
          </cell>
          <cell r="D441" t="str">
            <v>OHADA</v>
          </cell>
          <cell r="E441" t="str">
            <v>234000 - Aménagements, agencements et installations techniques - OHADA</v>
          </cell>
          <cell r="F441">
            <v>234200</v>
          </cell>
          <cell r="G441" t="str">
            <v>0</v>
          </cell>
          <cell r="H441" t="str">
            <v>Asset</v>
          </cell>
          <cell r="I441" t="str">
            <v>Balance Sheet</v>
          </cell>
          <cell r="J441" t="str">
            <v>XAF</v>
          </cell>
          <cell r="K441" t="str">
            <v>Aménagement, agencements et Installations </v>
          </cell>
        </row>
        <row r="442">
          <cell r="A442" t="str">
            <v>A441</v>
          </cell>
          <cell r="B442" t="str">
            <v>"234300 - Installations à caractère spécifique sur sol propre - OHADA"</v>
          </cell>
          <cell r="C442" t="str">
            <v>Installations à caractère spécifique sur sol propre</v>
          </cell>
          <cell r="D442" t="str">
            <v>OHADA</v>
          </cell>
          <cell r="E442" t="str">
            <v>234000 - Aménagements, agencements et installations techniques - OHADA</v>
          </cell>
          <cell r="F442">
            <v>234300</v>
          </cell>
          <cell r="G442" t="str">
            <v>0</v>
          </cell>
          <cell r="H442" t="str">
            <v>Asset</v>
          </cell>
          <cell r="I442" t="str">
            <v>Balance Sheet</v>
          </cell>
          <cell r="J442" t="str">
            <v>XAF</v>
          </cell>
          <cell r="K442" t="str">
            <v>Aménagement, agencements et Installations </v>
          </cell>
        </row>
        <row r="443">
          <cell r="A443" t="str">
            <v>A442</v>
          </cell>
          <cell r="B443" t="str">
            <v>"234400 - Installations à caractère spécifique sur sol d’autrui - OHADA"</v>
          </cell>
          <cell r="C443" t="str">
            <v>Installations à caractère spécifique sur sol d’autrui</v>
          </cell>
          <cell r="D443" t="str">
            <v>OHADA</v>
          </cell>
          <cell r="E443" t="str">
            <v>234000 - Aménagements, agencements et installations techniques - OHADA</v>
          </cell>
          <cell r="F443">
            <v>234400</v>
          </cell>
          <cell r="G443" t="str">
            <v>0</v>
          </cell>
          <cell r="H443" t="str">
            <v>Asset</v>
          </cell>
          <cell r="I443" t="str">
            <v>Balance Sheet</v>
          </cell>
          <cell r="J443" t="str">
            <v>XAF</v>
          </cell>
          <cell r="K443" t="str">
            <v>Aménagement, agencements et Installations </v>
          </cell>
        </row>
        <row r="444">
          <cell r="A444" t="str">
            <v>A443</v>
          </cell>
          <cell r="B444" t="str">
            <v>"234500 - Aménagements et agencements des bâtiments - OHADA"</v>
          </cell>
          <cell r="C444" t="str">
            <v>Aménagements et agencements des bâtiments</v>
          </cell>
          <cell r="D444" t="str">
            <v>OHADA</v>
          </cell>
          <cell r="E444" t="str">
            <v>234000 - Aménagements, agencements et installations techniques - OHADA</v>
          </cell>
          <cell r="F444">
            <v>234500</v>
          </cell>
          <cell r="G444" t="str">
            <v>0</v>
          </cell>
          <cell r="H444" t="str">
            <v>Asset</v>
          </cell>
          <cell r="I444" t="str">
            <v>Balance Sheet</v>
          </cell>
          <cell r="J444" t="str">
            <v>XAF</v>
          </cell>
          <cell r="K444" t="str">
            <v>Aménagement, agencements et Installations </v>
          </cell>
        </row>
        <row r="445">
          <cell r="A445" t="str">
            <v>A444</v>
          </cell>
          <cell r="B445" t="str">
            <v>"235000 - Aménagements de bureaux - OHADA"</v>
          </cell>
          <cell r="C445" t="str">
            <v>Aménagements de bureaux</v>
          </cell>
          <cell r="D445" t="str">
            <v>OHADA</v>
          </cell>
          <cell r="E445" t="str">
            <v>230000 - Bâtiments, installations techniques et agencements - OHADA</v>
          </cell>
          <cell r="F445">
            <v>235000</v>
          </cell>
          <cell r="G445" t="str">
            <v>1</v>
          </cell>
          <cell r="H445" t="str">
            <v>Asset</v>
          </cell>
          <cell r="I445" t="str">
            <v>Balance Sheet</v>
          </cell>
          <cell r="J445" t="str">
            <v>XAF</v>
          </cell>
          <cell r="K445" t="str">
            <v>Aménagement, agencements et Installations </v>
          </cell>
        </row>
        <row r="446">
          <cell r="A446" t="str">
            <v>A445</v>
          </cell>
          <cell r="B446" t="str">
            <v>"235100 - Installations générales - OHADA"</v>
          </cell>
          <cell r="C446" t="str">
            <v>Installations générales</v>
          </cell>
          <cell r="D446" t="str">
            <v>OHADA</v>
          </cell>
          <cell r="E446" t="str">
            <v>235000 - Aménagements de bureaux - OHADA</v>
          </cell>
          <cell r="F446">
            <v>235100</v>
          </cell>
          <cell r="G446" t="str">
            <v>0</v>
          </cell>
          <cell r="H446" t="str">
            <v>Asset</v>
          </cell>
          <cell r="I446" t="str">
            <v>Balance Sheet</v>
          </cell>
          <cell r="J446" t="str">
            <v>XAF</v>
          </cell>
          <cell r="K446" t="str">
            <v>Aménagement, agencements et Installations </v>
          </cell>
        </row>
        <row r="447">
          <cell r="A447" t="str">
            <v>A446</v>
          </cell>
          <cell r="B447" t="str">
            <v>"235800 - Autres aménagements de bureaux - OHADA"</v>
          </cell>
          <cell r="C447" t="str">
            <v>Autres aménagements de bureaux</v>
          </cell>
          <cell r="D447" t="str">
            <v>OHADA</v>
          </cell>
          <cell r="E447" t="str">
            <v>235000 - Aménagements de bureaux - OHADA</v>
          </cell>
          <cell r="F447">
            <v>235800</v>
          </cell>
          <cell r="G447" t="str">
            <v>0</v>
          </cell>
          <cell r="H447" t="str">
            <v>Asset</v>
          </cell>
          <cell r="I447" t="str">
            <v>Balance Sheet</v>
          </cell>
          <cell r="J447" t="str">
            <v>XAF</v>
          </cell>
          <cell r="K447" t="str">
            <v>Aménagement, agencements et Installations </v>
          </cell>
        </row>
        <row r="448">
          <cell r="A448" t="str">
            <v>A447</v>
          </cell>
          <cell r="B448" t="str">
            <v>"237000 - Bâtiments industriels, agricoles et commerciaux mis en concession - OHADA"</v>
          </cell>
          <cell r="C448" t="str">
            <v>Bâtiments industriels, agricoles et commerciaux mis en concession</v>
          </cell>
          <cell r="D448" t="str">
            <v>OHADA</v>
          </cell>
          <cell r="E448" t="str">
            <v>230000 - Bâtiments, installations techniques et agencements - OHADA</v>
          </cell>
          <cell r="F448">
            <v>237000</v>
          </cell>
          <cell r="G448" t="str">
            <v>0</v>
          </cell>
          <cell r="H448" t="str">
            <v>Asset</v>
          </cell>
          <cell r="I448" t="str">
            <v>Balance Sheet</v>
          </cell>
          <cell r="J448" t="str">
            <v>XAF</v>
          </cell>
          <cell r="K448" t="str">
            <v>Bâtiments</v>
          </cell>
        </row>
        <row r="449">
          <cell r="A449" t="str">
            <v>A448</v>
          </cell>
          <cell r="B449" t="str">
            <v>"238000 - Autres installations et agencements - OHADA"</v>
          </cell>
          <cell r="C449" t="str">
            <v>Autres installations et agencements</v>
          </cell>
          <cell r="D449" t="str">
            <v>OHADA</v>
          </cell>
          <cell r="E449" t="str">
            <v>230000 - Bâtiments, installations techniques et agencements - OHADA</v>
          </cell>
          <cell r="F449">
            <v>238000</v>
          </cell>
          <cell r="G449" t="str">
            <v>0</v>
          </cell>
          <cell r="H449" t="str">
            <v>Asset</v>
          </cell>
          <cell r="I449" t="str">
            <v>Balance Sheet</v>
          </cell>
          <cell r="J449" t="str">
            <v>XAF</v>
          </cell>
          <cell r="K449" t="str">
            <v>Aménagement, agencements et Installations </v>
          </cell>
        </row>
        <row r="450">
          <cell r="A450" t="str">
            <v>A449</v>
          </cell>
          <cell r="B450" t="str">
            <v>"239000 - Bâtiments aménagements, agencements et installations en cours - OHADA"</v>
          </cell>
          <cell r="C450" t="str">
            <v>Bâtiments aménagements, agencements et installations en cours</v>
          </cell>
          <cell r="D450" t="str">
            <v>OHADA</v>
          </cell>
          <cell r="E450" t="str">
            <v>230000 - Bâtiments, installations techniques et agencements - OHADA</v>
          </cell>
          <cell r="F450">
            <v>239000</v>
          </cell>
          <cell r="G450" t="str">
            <v>1</v>
          </cell>
          <cell r="H450" t="str">
            <v>Asset</v>
          </cell>
          <cell r="I450" t="str">
            <v>Balance Sheet</v>
          </cell>
          <cell r="J450" t="str">
            <v>XAF</v>
          </cell>
          <cell r="K450" t="str">
            <v>Bâtiments</v>
          </cell>
        </row>
        <row r="451">
          <cell r="A451" t="str">
            <v>A450</v>
          </cell>
          <cell r="B451" t="str">
            <v>"239100 - Bâtiments en cours - OHADA"</v>
          </cell>
          <cell r="C451" t="str">
            <v>Bâtiments en cours</v>
          </cell>
          <cell r="D451" t="str">
            <v>OHADA</v>
          </cell>
          <cell r="E451" t="str">
            <v>239000 - Bâtiments aménagements, agencements et installations en cours - OHADA</v>
          </cell>
          <cell r="F451">
            <v>239100</v>
          </cell>
          <cell r="G451" t="str">
            <v>0</v>
          </cell>
          <cell r="H451" t="str">
            <v>Asset</v>
          </cell>
          <cell r="I451" t="str">
            <v>Balance Sheet</v>
          </cell>
          <cell r="J451" t="str">
            <v>XAF</v>
          </cell>
          <cell r="K451" t="str">
            <v>Aménagement, agencements et Installations </v>
          </cell>
        </row>
        <row r="452">
          <cell r="A452" t="str">
            <v>A451</v>
          </cell>
          <cell r="B452" t="str">
            <v>"239200 - Installations en cours - OHADA"</v>
          </cell>
          <cell r="C452" t="str">
            <v>Installations en cours</v>
          </cell>
          <cell r="D452" t="str">
            <v>OHADA</v>
          </cell>
          <cell r="E452" t="str">
            <v>239000 - Bâtiments aménagements, agencements et installations en cours - OHADA</v>
          </cell>
          <cell r="F452">
            <v>239200</v>
          </cell>
          <cell r="G452" t="str">
            <v>0</v>
          </cell>
          <cell r="H452" t="str">
            <v>Asset</v>
          </cell>
          <cell r="I452" t="str">
            <v>Balance Sheet</v>
          </cell>
          <cell r="J452" t="str">
            <v>XAF</v>
          </cell>
          <cell r="K452" t="str">
            <v>Aménagement, agencements et Installations </v>
          </cell>
        </row>
        <row r="453">
          <cell r="A453" t="str">
            <v>A452</v>
          </cell>
          <cell r="B453" t="str">
            <v>"239300 - Ouvrages d’infrastructure en cours - OHADA"</v>
          </cell>
          <cell r="C453" t="str">
            <v>Ouvrages d’infrastructure en cours</v>
          </cell>
          <cell r="D453" t="str">
            <v>OHADA</v>
          </cell>
          <cell r="E453" t="str">
            <v>239000 - Bâtiments aménagements, agencements et installations en cours - OHADA</v>
          </cell>
          <cell r="F453">
            <v>239300</v>
          </cell>
          <cell r="G453" t="str">
            <v>0</v>
          </cell>
          <cell r="H453" t="str">
            <v>Asset</v>
          </cell>
          <cell r="I453" t="str">
            <v>Balance Sheet</v>
          </cell>
          <cell r="J453" t="str">
            <v>XAF</v>
          </cell>
          <cell r="K453" t="str">
            <v>Aménagement, agencements et Installations </v>
          </cell>
        </row>
        <row r="454">
          <cell r="A454" t="str">
            <v>A453</v>
          </cell>
          <cell r="B454" t="str">
            <v>"239400 - Aménagements et agencements et installations techniques en cours - OHADA"</v>
          </cell>
          <cell r="C454" t="str">
            <v>Aménagements et agencements et installations techniques en cours</v>
          </cell>
          <cell r="D454" t="str">
            <v>OHADA</v>
          </cell>
          <cell r="E454" t="str">
            <v>239000 - Bâtiments aménagements, agencements et installations en cours - OHADA</v>
          </cell>
          <cell r="F454">
            <v>239400</v>
          </cell>
          <cell r="G454" t="str">
            <v>0</v>
          </cell>
          <cell r="H454" t="str">
            <v>Asset</v>
          </cell>
          <cell r="I454" t="str">
            <v>Balance Sheet</v>
          </cell>
          <cell r="J454" t="str">
            <v>XAF</v>
          </cell>
          <cell r="K454" t="str">
            <v>Aménagement, agencements et Installations </v>
          </cell>
        </row>
        <row r="455">
          <cell r="A455" t="str">
            <v>A454</v>
          </cell>
          <cell r="B455" t="str">
            <v>"239500 - Aménagements de bureaux en cours - OHADA"</v>
          </cell>
          <cell r="C455" t="str">
            <v>Aménagements de bureaux en cours</v>
          </cell>
          <cell r="D455" t="str">
            <v>OHADA</v>
          </cell>
          <cell r="E455" t="str">
            <v>239000 - Bâtiments aménagements, agencements et installations en cours - OHADA</v>
          </cell>
          <cell r="F455">
            <v>239500</v>
          </cell>
          <cell r="G455" t="str">
            <v>0</v>
          </cell>
          <cell r="H455" t="str">
            <v>Asset</v>
          </cell>
          <cell r="I455" t="str">
            <v>Balance Sheet</v>
          </cell>
          <cell r="J455" t="str">
            <v>XAF</v>
          </cell>
          <cell r="K455" t="str">
            <v>Aménagement, agencements et Installations </v>
          </cell>
        </row>
        <row r="456">
          <cell r="A456" t="str">
            <v>A455</v>
          </cell>
          <cell r="B456" t="str">
            <v>"239800 - Autres installations et agencements en cours - OHADA"</v>
          </cell>
          <cell r="C456" t="str">
            <v>Autres installations et agencements en cours</v>
          </cell>
          <cell r="D456" t="str">
            <v>OHADA</v>
          </cell>
          <cell r="E456" t="str">
            <v>239000 - Bâtiments aménagements, agencements et installations en cours - OHADA</v>
          </cell>
          <cell r="F456">
            <v>239800</v>
          </cell>
          <cell r="G456" t="str">
            <v>0</v>
          </cell>
          <cell r="H456" t="str">
            <v>Asset</v>
          </cell>
          <cell r="I456" t="str">
            <v>Balance Sheet</v>
          </cell>
          <cell r="J456" t="str">
            <v>XAF</v>
          </cell>
          <cell r="K456" t="str">
            <v>Aménagement, agencements et Installations </v>
          </cell>
        </row>
        <row r="457">
          <cell r="A457" t="str">
            <v>A456</v>
          </cell>
          <cell r="B457" t="str">
            <v>3 -  Comptes de Stocks  -  OHADA</v>
          </cell>
          <cell r="C457" t="str">
            <v>Comptes de Stocks</v>
          </cell>
          <cell r="D457" t="str">
            <v>OHADA</v>
          </cell>
          <cell r="F457">
            <v>300000</v>
          </cell>
          <cell r="G457" t="str">
            <v>1</v>
          </cell>
          <cell r="H457" t="str">
            <v>Asset</v>
          </cell>
          <cell r="I457" t="str">
            <v>Balance Sheet</v>
          </cell>
          <cell r="J457" t="str">
            <v>XAF</v>
          </cell>
          <cell r="K457" t="str">
            <v>Stocks et encours</v>
          </cell>
        </row>
        <row r="458">
          <cell r="A458" t="str">
            <v>A457</v>
          </cell>
          <cell r="B458" t="str">
            <v>"310000 - Marchandises - OHADA"</v>
          </cell>
          <cell r="C458" t="str">
            <v>Marchandises</v>
          </cell>
          <cell r="D458" t="str">
            <v>OHADA</v>
          </cell>
          <cell r="E458" t="str">
            <v>3 - Comptes de Stocks - OHADA</v>
          </cell>
          <cell r="F458">
            <v>310000</v>
          </cell>
          <cell r="G458" t="str">
            <v>1</v>
          </cell>
          <cell r="H458" t="str">
            <v>Asset</v>
          </cell>
          <cell r="I458" t="str">
            <v>Balance Sheet</v>
          </cell>
          <cell r="J458" t="str">
            <v>XAF</v>
          </cell>
          <cell r="K458" t="str">
            <v>Stocks et encours</v>
          </cell>
        </row>
        <row r="459">
          <cell r="A459" t="str">
            <v>A458</v>
          </cell>
          <cell r="B459" t="str">
            <v>"311000 - Marchandises A - OHADA"</v>
          </cell>
          <cell r="C459" t="str">
            <v>Marchandises A</v>
          </cell>
          <cell r="D459" t="str">
            <v>OHADA</v>
          </cell>
          <cell r="E459" t="str">
            <v>310000 - Marchandises - OHADA</v>
          </cell>
          <cell r="F459">
            <v>311000</v>
          </cell>
          <cell r="G459" t="str">
            <v>1</v>
          </cell>
          <cell r="H459" t="str">
            <v>Asset</v>
          </cell>
          <cell r="I459" t="str">
            <v>Balance Sheet</v>
          </cell>
          <cell r="J459" t="str">
            <v>XAF</v>
          </cell>
          <cell r="K459" t="str">
            <v>Stocks et encours</v>
          </cell>
        </row>
        <row r="460">
          <cell r="A460" t="str">
            <v>A459</v>
          </cell>
          <cell r="B460" t="str">
            <v>"311100 - Marchandises A1 - OHADA"</v>
          </cell>
          <cell r="C460" t="str">
            <v>Marchandises A1</v>
          </cell>
          <cell r="D460" t="str">
            <v>OHADA</v>
          </cell>
          <cell r="E460" t="str">
            <v>311000 - Marchandises A - OHADA</v>
          </cell>
          <cell r="F460">
            <v>311100</v>
          </cell>
          <cell r="G460" t="str">
            <v>0</v>
          </cell>
          <cell r="H460" t="str">
            <v>Asset</v>
          </cell>
          <cell r="I460" t="str">
            <v>Balance Sheet</v>
          </cell>
          <cell r="J460" t="str">
            <v>XAF</v>
          </cell>
          <cell r="K460" t="str">
            <v>Stocks et encours</v>
          </cell>
        </row>
        <row r="461">
          <cell r="A461" t="str">
            <v>A460</v>
          </cell>
          <cell r="B461" t="str">
            <v>"311200 - Marchandises A2 - OHADA"</v>
          </cell>
          <cell r="C461" t="str">
            <v>Marchandises A2</v>
          </cell>
          <cell r="D461" t="str">
            <v>OHADA</v>
          </cell>
          <cell r="E461" t="str">
            <v>311000 - Marchandises A - OHADA</v>
          </cell>
          <cell r="F461">
            <v>311200</v>
          </cell>
          <cell r="G461" t="str">
            <v>0</v>
          </cell>
          <cell r="H461" t="str">
            <v>Asset</v>
          </cell>
          <cell r="I461" t="str">
            <v>Balance Sheet</v>
          </cell>
          <cell r="J461" t="str">
            <v>XAF</v>
          </cell>
          <cell r="K461" t="str">
            <v>Stocks et encours</v>
          </cell>
        </row>
        <row r="462">
          <cell r="A462" t="str">
            <v>A461</v>
          </cell>
          <cell r="B462" t="str">
            <v>"312000 - Marchandises B - OHADA"</v>
          </cell>
          <cell r="C462" t="str">
            <v>Marchandises B</v>
          </cell>
          <cell r="D462" t="str">
            <v>OHADA</v>
          </cell>
          <cell r="E462" t="str">
            <v>310000 - Marchandises - OHADA</v>
          </cell>
          <cell r="F462">
            <v>312000</v>
          </cell>
          <cell r="G462" t="str">
            <v>1</v>
          </cell>
          <cell r="H462" t="str">
            <v>Asset</v>
          </cell>
          <cell r="I462" t="str">
            <v>Balance Sheet</v>
          </cell>
          <cell r="J462" t="str">
            <v>XAF</v>
          </cell>
          <cell r="K462" t="str">
            <v>Stocks et encours</v>
          </cell>
        </row>
        <row r="463">
          <cell r="A463" t="str">
            <v>A462</v>
          </cell>
          <cell r="B463" t="str">
            <v>"312100 - Marchandises B1 - OHADA"</v>
          </cell>
          <cell r="C463" t="str">
            <v>Marchandises B1</v>
          </cell>
          <cell r="D463" t="str">
            <v>OHADA</v>
          </cell>
          <cell r="E463" t="str">
            <v>312000 - Marchandises B - OHADA</v>
          </cell>
          <cell r="F463">
            <v>312100</v>
          </cell>
          <cell r="G463" t="str">
            <v>0</v>
          </cell>
          <cell r="H463" t="str">
            <v>Asset</v>
          </cell>
          <cell r="I463" t="str">
            <v>Balance Sheet</v>
          </cell>
          <cell r="J463" t="str">
            <v>XAF</v>
          </cell>
          <cell r="K463" t="str">
            <v>Stocks et encours</v>
          </cell>
        </row>
        <row r="464">
          <cell r="A464" t="str">
            <v>A463</v>
          </cell>
          <cell r="B464" t="str">
            <v>"312200 - Marchandises B2 - OHADA"</v>
          </cell>
          <cell r="C464" t="str">
            <v>Marchandises B2</v>
          </cell>
          <cell r="D464" t="str">
            <v>OHADA</v>
          </cell>
          <cell r="E464" t="str">
            <v>312000 - Marchandises B - OHADA</v>
          </cell>
          <cell r="F464">
            <v>312200</v>
          </cell>
          <cell r="G464" t="str">
            <v>0</v>
          </cell>
          <cell r="H464" t="str">
            <v>Asset</v>
          </cell>
          <cell r="I464" t="str">
            <v>Balance Sheet</v>
          </cell>
          <cell r="J464" t="str">
            <v>XAF</v>
          </cell>
          <cell r="K464" t="str">
            <v>Stocks et encours</v>
          </cell>
        </row>
        <row r="465">
          <cell r="A465" t="str">
            <v>A464</v>
          </cell>
          <cell r="B465" t="str">
            <v>"313000 - Actifs biologiques - OHADA"</v>
          </cell>
          <cell r="C465" t="str">
            <v>Actifs biologiques</v>
          </cell>
          <cell r="D465" t="str">
            <v>OHADA</v>
          </cell>
          <cell r="E465" t="str">
            <v>310000 - Marchandises - OHADA</v>
          </cell>
          <cell r="F465">
            <v>313000</v>
          </cell>
          <cell r="G465" t="str">
            <v>1</v>
          </cell>
          <cell r="H465" t="str">
            <v>Asset</v>
          </cell>
          <cell r="I465" t="str">
            <v>Balance Sheet</v>
          </cell>
          <cell r="J465" t="str">
            <v>XAF</v>
          </cell>
          <cell r="K465" t="str">
            <v>Stocks et encours</v>
          </cell>
        </row>
        <row r="466">
          <cell r="A466" t="str">
            <v>A465</v>
          </cell>
          <cell r="B466" t="str">
            <v>"313100 - Animaux - OHADA"</v>
          </cell>
          <cell r="C466" t="str">
            <v>Animaux</v>
          </cell>
          <cell r="D466" t="str">
            <v>OHADA</v>
          </cell>
          <cell r="E466" t="str">
            <v>313000 - Actifs biologiques - OHADA</v>
          </cell>
          <cell r="F466">
            <v>313100</v>
          </cell>
          <cell r="G466" t="str">
            <v>0</v>
          </cell>
          <cell r="H466" t="str">
            <v>Asset</v>
          </cell>
          <cell r="I466" t="str">
            <v>Balance Sheet</v>
          </cell>
          <cell r="J466" t="str">
            <v>XAF</v>
          </cell>
          <cell r="K466" t="str">
            <v>Stocks et encours</v>
          </cell>
        </row>
        <row r="467">
          <cell r="A467" t="str">
            <v>A466</v>
          </cell>
          <cell r="B467" t="str">
            <v>"313200 - Végétaux - OHADA"</v>
          </cell>
          <cell r="C467" t="str">
            <v>Végétaux</v>
          </cell>
          <cell r="D467" t="str">
            <v>OHADA</v>
          </cell>
          <cell r="E467" t="str">
            <v>313000 - Actifs biologiques - OHADA</v>
          </cell>
          <cell r="F467">
            <v>313200</v>
          </cell>
          <cell r="G467" t="str">
            <v>0</v>
          </cell>
          <cell r="H467" t="str">
            <v>Asset</v>
          </cell>
          <cell r="I467" t="str">
            <v>Balance Sheet</v>
          </cell>
          <cell r="J467" t="str">
            <v>XAF</v>
          </cell>
          <cell r="K467" t="str">
            <v>Stocks et encours</v>
          </cell>
        </row>
        <row r="468">
          <cell r="A468" t="str">
            <v>A467</v>
          </cell>
          <cell r="B468" t="str">
            <v>"318000 - Marchandises hors activités ordinaires (HAO) - OHADA"</v>
          </cell>
          <cell r="C468" t="str">
            <v>Marchandises hors activités ordinaires (HAO)</v>
          </cell>
          <cell r="D468" t="str">
            <v>OHADA</v>
          </cell>
          <cell r="E468" t="str">
            <v>310000 - Marchandises - OHADA</v>
          </cell>
          <cell r="F468">
            <v>318000</v>
          </cell>
          <cell r="G468" t="str">
            <v>0</v>
          </cell>
          <cell r="H468" t="str">
            <v>Asset</v>
          </cell>
          <cell r="I468" t="str">
            <v>Balance Sheet</v>
          </cell>
          <cell r="J468" t="str">
            <v>XAF</v>
          </cell>
          <cell r="K468" t="str">
            <v>Stocks et encours</v>
          </cell>
        </row>
        <row r="469">
          <cell r="A469" t="str">
            <v>A468</v>
          </cell>
          <cell r="B469" t="str">
            <v>"320000 - Matières premières et fournitures liées - OHADA"</v>
          </cell>
          <cell r="C469" t="str">
            <v>Matières premières et fournitures liées</v>
          </cell>
          <cell r="D469" t="str">
            <v>OHADA</v>
          </cell>
          <cell r="E469" t="str">
            <v>3 - Comptes de Stocks - OHADA</v>
          </cell>
          <cell r="F469">
            <v>320000</v>
          </cell>
          <cell r="G469" t="str">
            <v>1</v>
          </cell>
          <cell r="H469" t="str">
            <v>Asset</v>
          </cell>
          <cell r="I469" t="str">
            <v>Balance Sheet</v>
          </cell>
          <cell r="J469" t="str">
            <v>XAF</v>
          </cell>
          <cell r="K469" t="str">
            <v>Stocks et encours</v>
          </cell>
        </row>
        <row r="470">
          <cell r="A470" t="str">
            <v>A469</v>
          </cell>
          <cell r="B470" t="str">
            <v>"321000 - Matières A - OHADA"</v>
          </cell>
          <cell r="C470" t="str">
            <v>Matières A</v>
          </cell>
          <cell r="D470" t="str">
            <v>OHADA</v>
          </cell>
          <cell r="E470" t="str">
            <v>320000 - Matières premières et fournitures liées - OHADA</v>
          </cell>
          <cell r="F470">
            <v>321000</v>
          </cell>
          <cell r="G470" t="str">
            <v>0</v>
          </cell>
          <cell r="H470" t="str">
            <v>Asset</v>
          </cell>
          <cell r="I470" t="str">
            <v>Balance Sheet</v>
          </cell>
          <cell r="J470" t="str">
            <v>XAF</v>
          </cell>
          <cell r="K470" t="str">
            <v>Stocks et encours</v>
          </cell>
        </row>
        <row r="471">
          <cell r="A471" t="str">
            <v>A470</v>
          </cell>
          <cell r="B471" t="str">
            <v>"322000 - Matières B - OHADA"</v>
          </cell>
          <cell r="C471" t="str">
            <v>Matières B</v>
          </cell>
          <cell r="D471" t="str">
            <v>OHADA</v>
          </cell>
          <cell r="E471" t="str">
            <v>320000 - Matières premières et fournitures liées - OHADA</v>
          </cell>
          <cell r="F471">
            <v>322000</v>
          </cell>
          <cell r="G471" t="str">
            <v>0</v>
          </cell>
          <cell r="H471" t="str">
            <v>Asset</v>
          </cell>
          <cell r="I471" t="str">
            <v>Balance Sheet</v>
          </cell>
          <cell r="J471" t="str">
            <v>XAF</v>
          </cell>
          <cell r="K471" t="str">
            <v>Stocks et encours</v>
          </cell>
        </row>
        <row r="472">
          <cell r="A472" t="str">
            <v>A471</v>
          </cell>
          <cell r="B472" t="str">
            <v>"323000 - Fournitures (A, B) - OHADA"</v>
          </cell>
          <cell r="C472" t="str">
            <v>Fournitures (A, B)</v>
          </cell>
          <cell r="D472" t="str">
            <v>OHADA</v>
          </cell>
          <cell r="E472" t="str">
            <v>320000 - Matières premières et fournitures liées - OHADA</v>
          </cell>
          <cell r="F472">
            <v>323000</v>
          </cell>
          <cell r="G472" t="str">
            <v>0</v>
          </cell>
          <cell r="H472" t="str">
            <v>Asset</v>
          </cell>
          <cell r="I472" t="str">
            <v>Balance Sheet</v>
          </cell>
          <cell r="J472" t="str">
            <v>XAF</v>
          </cell>
          <cell r="K472" t="str">
            <v>Stocks et encours</v>
          </cell>
        </row>
        <row r="473">
          <cell r="A473" t="str">
            <v>A472</v>
          </cell>
          <cell r="B473" t="str">
            <v>"330000 - Autres approvisionnements - OHADA"</v>
          </cell>
          <cell r="C473" t="str">
            <v>Autres approvisionnements</v>
          </cell>
          <cell r="D473" t="str">
            <v>OHADA</v>
          </cell>
          <cell r="E473" t="str">
            <v>3 - Comptes de Stocks - OHADA</v>
          </cell>
          <cell r="F473">
            <v>330000</v>
          </cell>
          <cell r="G473" t="str">
            <v>1</v>
          </cell>
          <cell r="H473" t="str">
            <v>Asset</v>
          </cell>
          <cell r="I473" t="str">
            <v>Balance Sheet</v>
          </cell>
          <cell r="J473" t="str">
            <v>XAF</v>
          </cell>
          <cell r="K473" t="str">
            <v>Stocks et encours</v>
          </cell>
        </row>
        <row r="474">
          <cell r="A474" t="str">
            <v>A473</v>
          </cell>
          <cell r="B474" t="str">
            <v>"331000 - Matières consommables - OHADA"</v>
          </cell>
          <cell r="C474" t="str">
            <v>Matières consommables</v>
          </cell>
          <cell r="D474" t="str">
            <v>OHADA</v>
          </cell>
          <cell r="E474" t="str">
            <v>330000 - Autres approvisionnements - OHADA</v>
          </cell>
          <cell r="F474">
            <v>331000</v>
          </cell>
          <cell r="G474" t="str">
            <v>0</v>
          </cell>
          <cell r="H474" t="str">
            <v>Asset</v>
          </cell>
          <cell r="I474" t="str">
            <v>Balance Sheet</v>
          </cell>
          <cell r="J474" t="str">
            <v>XAF</v>
          </cell>
          <cell r="K474" t="str">
            <v>Stocks et encours</v>
          </cell>
        </row>
        <row r="475">
          <cell r="A475" t="str">
            <v>A474</v>
          </cell>
          <cell r="B475" t="str">
            <v>"332000 - Fournitures d’atelier et d’usine - OHADA"</v>
          </cell>
          <cell r="C475" t="str">
            <v>Fournitures d’atelier et d’usine</v>
          </cell>
          <cell r="D475" t="str">
            <v>OHADA</v>
          </cell>
          <cell r="E475" t="str">
            <v>330000 - Autres approvisionnements - OHADA</v>
          </cell>
          <cell r="F475">
            <v>332000</v>
          </cell>
          <cell r="G475" t="str">
            <v>0</v>
          </cell>
          <cell r="H475" t="str">
            <v>Asset</v>
          </cell>
          <cell r="I475" t="str">
            <v>Balance Sheet</v>
          </cell>
          <cell r="J475" t="str">
            <v>XAF</v>
          </cell>
          <cell r="K475" t="str">
            <v>Stocks et encours</v>
          </cell>
        </row>
        <row r="476">
          <cell r="A476" t="str">
            <v>A475</v>
          </cell>
          <cell r="B476" t="str">
            <v>"333000 - Fournitures de magasin - OHADA"</v>
          </cell>
          <cell r="C476" t="str">
            <v>Fournitures de magasin</v>
          </cell>
          <cell r="D476" t="str">
            <v>OHADA</v>
          </cell>
          <cell r="E476" t="str">
            <v>330000 - Autres approvisionnements - OHADA</v>
          </cell>
          <cell r="F476">
            <v>333000</v>
          </cell>
          <cell r="G476" t="str">
            <v>0</v>
          </cell>
          <cell r="H476" t="str">
            <v>Asset</v>
          </cell>
          <cell r="I476" t="str">
            <v>Balance Sheet</v>
          </cell>
          <cell r="J476" t="str">
            <v>XAF</v>
          </cell>
          <cell r="K476" t="str">
            <v>Stocks et encours</v>
          </cell>
        </row>
        <row r="477">
          <cell r="A477" t="str">
            <v>A476</v>
          </cell>
          <cell r="B477" t="str">
            <v>"334000 - Fournitures de bureau - OHADA"</v>
          </cell>
          <cell r="C477" t="str">
            <v>Fournitures de bureau</v>
          </cell>
          <cell r="D477" t="str">
            <v>OHADA</v>
          </cell>
          <cell r="E477" t="str">
            <v>330000 - Autres approvisionnements - OHADA</v>
          </cell>
          <cell r="F477">
            <v>334000</v>
          </cell>
          <cell r="G477" t="str">
            <v>0</v>
          </cell>
          <cell r="H477" t="str">
            <v>Asset</v>
          </cell>
          <cell r="I477" t="str">
            <v>Balance Sheet</v>
          </cell>
          <cell r="J477" t="str">
            <v>XAF</v>
          </cell>
          <cell r="K477" t="str">
            <v>Stocks et encours</v>
          </cell>
        </row>
        <row r="478">
          <cell r="A478" t="str">
            <v>A477</v>
          </cell>
          <cell r="B478" t="str">
            <v>"335000 - Emballages - OHADA"</v>
          </cell>
          <cell r="C478" t="str">
            <v>Emballages</v>
          </cell>
          <cell r="D478" t="str">
            <v>OHADA</v>
          </cell>
          <cell r="E478" t="str">
            <v>330000 - Autres approvisionnements - OHADA</v>
          </cell>
          <cell r="F478">
            <v>335000</v>
          </cell>
          <cell r="G478" t="str">
            <v>1</v>
          </cell>
          <cell r="H478" t="str">
            <v>Asset</v>
          </cell>
          <cell r="I478" t="str">
            <v>Balance Sheet</v>
          </cell>
          <cell r="J478" t="str">
            <v>XAF</v>
          </cell>
          <cell r="K478" t="str">
            <v>Stocks et encours</v>
          </cell>
        </row>
        <row r="479">
          <cell r="A479" t="str">
            <v>A478</v>
          </cell>
          <cell r="B479" t="str">
            <v>"335100 - Emballages perdus - OHADA"</v>
          </cell>
          <cell r="C479" t="str">
            <v>Emballages perdus</v>
          </cell>
          <cell r="D479" t="str">
            <v>OHADA</v>
          </cell>
          <cell r="E479" t="str">
            <v>335000 - Emballages - OHADA</v>
          </cell>
          <cell r="F479">
            <v>335100</v>
          </cell>
          <cell r="G479" t="str">
            <v>0</v>
          </cell>
          <cell r="H479" t="str">
            <v>Asset</v>
          </cell>
          <cell r="I479" t="str">
            <v>Balance Sheet</v>
          </cell>
          <cell r="J479" t="str">
            <v>XAF</v>
          </cell>
          <cell r="K479" t="str">
            <v>Stocks et encours</v>
          </cell>
        </row>
        <row r="480">
          <cell r="A480" t="str">
            <v>A479</v>
          </cell>
          <cell r="B480" t="str">
            <v>"335200 - Emballages récupérables non identifiables - OHADA"</v>
          </cell>
          <cell r="C480" t="str">
            <v>Emballages récupérables non identifiables</v>
          </cell>
          <cell r="D480" t="str">
            <v>OHADA</v>
          </cell>
          <cell r="E480" t="str">
            <v>335000 - Emballages - OHADA</v>
          </cell>
          <cell r="F480">
            <v>335200</v>
          </cell>
          <cell r="G480" t="str">
            <v>0</v>
          </cell>
          <cell r="H480" t="str">
            <v>Asset</v>
          </cell>
          <cell r="I480" t="str">
            <v>Balance Sheet</v>
          </cell>
          <cell r="J480" t="str">
            <v>XAF</v>
          </cell>
          <cell r="K480" t="str">
            <v>Stocks et encours</v>
          </cell>
        </row>
        <row r="481">
          <cell r="A481" t="str">
            <v>A480</v>
          </cell>
          <cell r="B481" t="str">
            <v>"335300 - Emballages à usage mixte - OHADA"</v>
          </cell>
          <cell r="C481" t="str">
            <v>Emballages à usage mixte</v>
          </cell>
          <cell r="D481" t="str">
            <v>OHADA</v>
          </cell>
          <cell r="E481" t="str">
            <v>335000 - Emballages - OHADA</v>
          </cell>
          <cell r="F481">
            <v>335300</v>
          </cell>
          <cell r="G481" t="str">
            <v>0</v>
          </cell>
          <cell r="H481" t="str">
            <v>Asset</v>
          </cell>
          <cell r="I481" t="str">
            <v>Balance Sheet</v>
          </cell>
          <cell r="J481" t="str">
            <v>XAF</v>
          </cell>
          <cell r="K481" t="str">
            <v>Stocks et encours</v>
          </cell>
        </row>
        <row r="482">
          <cell r="A482" t="str">
            <v>A481</v>
          </cell>
          <cell r="B482" t="str">
            <v>"335800 - Autres emballages - OHADA"</v>
          </cell>
          <cell r="C482" t="str">
            <v>Autres emballages</v>
          </cell>
          <cell r="D482" t="str">
            <v>OHADA</v>
          </cell>
          <cell r="E482" t="str">
            <v>335000 - Emballages - OHADA</v>
          </cell>
          <cell r="F482">
            <v>335800</v>
          </cell>
          <cell r="G482" t="str">
            <v>0</v>
          </cell>
          <cell r="H482" t="str">
            <v>Asset</v>
          </cell>
          <cell r="I482" t="str">
            <v>Balance Sheet</v>
          </cell>
          <cell r="J482" t="str">
            <v>XAF</v>
          </cell>
          <cell r="K482" t="str">
            <v>Stocks et encours</v>
          </cell>
        </row>
        <row r="483">
          <cell r="A483" t="str">
            <v>A482</v>
          </cell>
          <cell r="B483" t="str">
            <v>"338000 - Autres matières - OHADA"</v>
          </cell>
          <cell r="C483" t="str">
            <v>Autres matières</v>
          </cell>
          <cell r="D483" t="str">
            <v>OHADA</v>
          </cell>
          <cell r="E483" t="str">
            <v>330000 - Autres approvisionnements - OHADA</v>
          </cell>
          <cell r="F483">
            <v>338000</v>
          </cell>
          <cell r="G483" t="str">
            <v>0</v>
          </cell>
          <cell r="H483" t="str">
            <v>Asset</v>
          </cell>
          <cell r="I483" t="str">
            <v>Balance Sheet</v>
          </cell>
          <cell r="J483" t="str">
            <v>XAF</v>
          </cell>
          <cell r="K483" t="str">
            <v>Stocks et encours</v>
          </cell>
        </row>
        <row r="484">
          <cell r="A484" t="str">
            <v>A483</v>
          </cell>
          <cell r="B484" t="str">
            <v>"340000 - Produits en cours - OHADA"</v>
          </cell>
          <cell r="C484" t="str">
            <v>Produits en cours</v>
          </cell>
          <cell r="D484" t="str">
            <v>OHADA</v>
          </cell>
          <cell r="E484" t="str">
            <v>3 - Comptes de Stocks - OHADA</v>
          </cell>
          <cell r="F484">
            <v>340000</v>
          </cell>
          <cell r="G484" t="str">
            <v>1</v>
          </cell>
          <cell r="H484" t="str">
            <v>Asset</v>
          </cell>
          <cell r="I484" t="str">
            <v>Balance Sheet</v>
          </cell>
          <cell r="J484" t="str">
            <v>XAF</v>
          </cell>
          <cell r="K484" t="str">
            <v>Stocks et encours</v>
          </cell>
        </row>
        <row r="485">
          <cell r="A485" t="str">
            <v>A484</v>
          </cell>
          <cell r="B485" t="str">
            <v>"341000 - Produits en cours - OHADA"</v>
          </cell>
          <cell r="C485" t="str">
            <v>Produits en cours</v>
          </cell>
          <cell r="D485" t="str">
            <v>OHADA</v>
          </cell>
          <cell r="E485" t="str">
            <v>340000 - Produits en cours - OHADA</v>
          </cell>
          <cell r="F485">
            <v>341000</v>
          </cell>
          <cell r="G485" t="str">
            <v>1</v>
          </cell>
          <cell r="H485" t="str">
            <v>Asset</v>
          </cell>
          <cell r="I485" t="str">
            <v>Balance Sheet</v>
          </cell>
          <cell r="J485" t="str">
            <v>XAF</v>
          </cell>
          <cell r="K485" t="str">
            <v>Stocks et encours</v>
          </cell>
        </row>
        <row r="486">
          <cell r="A486" t="str">
            <v>A485</v>
          </cell>
          <cell r="B486" t="str">
            <v>"341100 - Produits en cours P1 - OHADA"</v>
          </cell>
          <cell r="C486" t="str">
            <v>Produits en cours P1</v>
          </cell>
          <cell r="D486" t="str">
            <v>OHADA</v>
          </cell>
          <cell r="E486" t="str">
            <v>341000 - Produits en cours - OHADA</v>
          </cell>
          <cell r="F486">
            <v>341100</v>
          </cell>
          <cell r="G486" t="str">
            <v>0</v>
          </cell>
          <cell r="H486" t="str">
            <v>Asset</v>
          </cell>
          <cell r="I486" t="str">
            <v>Balance Sheet</v>
          </cell>
          <cell r="J486" t="str">
            <v>XAF</v>
          </cell>
          <cell r="K486" t="str">
            <v>Stocks et encours</v>
          </cell>
        </row>
        <row r="487">
          <cell r="A487" t="str">
            <v>A486</v>
          </cell>
          <cell r="B487" t="str">
            <v>"341200 - Produits en cours P2 - OHADA"</v>
          </cell>
          <cell r="C487" t="str">
            <v>Produits en cours P2</v>
          </cell>
          <cell r="D487" t="str">
            <v>OHADA</v>
          </cell>
          <cell r="E487" t="str">
            <v>341000 - Produits en cours - OHADA</v>
          </cell>
          <cell r="F487">
            <v>341200</v>
          </cell>
          <cell r="G487" t="str">
            <v>0</v>
          </cell>
          <cell r="H487" t="str">
            <v>Asset</v>
          </cell>
          <cell r="I487" t="str">
            <v>Balance Sheet</v>
          </cell>
          <cell r="J487" t="str">
            <v>XAF</v>
          </cell>
          <cell r="K487" t="str">
            <v>Stocks et encours</v>
          </cell>
        </row>
        <row r="488">
          <cell r="A488" t="str">
            <v>A487</v>
          </cell>
          <cell r="B488" t="str">
            <v>"342000 - Travaux en cours - OHADA"</v>
          </cell>
          <cell r="C488" t="str">
            <v>Travaux en cours</v>
          </cell>
          <cell r="D488" t="str">
            <v>OHADA</v>
          </cell>
          <cell r="E488" t="str">
            <v>340000 - Produits en cours - OHADA</v>
          </cell>
          <cell r="F488">
            <v>342000</v>
          </cell>
          <cell r="G488" t="str">
            <v>1</v>
          </cell>
          <cell r="H488" t="str">
            <v>Asset</v>
          </cell>
          <cell r="I488" t="str">
            <v>Balance Sheet</v>
          </cell>
          <cell r="J488" t="str">
            <v>XAF</v>
          </cell>
          <cell r="K488" t="str">
            <v>Stocks et encours</v>
          </cell>
        </row>
        <row r="489">
          <cell r="A489" t="str">
            <v>A488</v>
          </cell>
          <cell r="B489" t="str">
            <v>"342100 - Travaux en cours T1 - OHADA"</v>
          </cell>
          <cell r="C489" t="str">
            <v>Travaux en cours T1</v>
          </cell>
          <cell r="D489" t="str">
            <v>OHADA</v>
          </cell>
          <cell r="E489" t="str">
            <v>342000 - Travaux en cours - OHADA</v>
          </cell>
          <cell r="F489">
            <v>342100</v>
          </cell>
          <cell r="G489" t="str">
            <v>0</v>
          </cell>
          <cell r="H489" t="str">
            <v>Asset</v>
          </cell>
          <cell r="I489" t="str">
            <v>Balance Sheet</v>
          </cell>
          <cell r="J489" t="str">
            <v>XAF</v>
          </cell>
          <cell r="K489" t="str">
            <v>Stocks et encours</v>
          </cell>
        </row>
        <row r="490">
          <cell r="A490" t="str">
            <v>A489</v>
          </cell>
          <cell r="B490" t="str">
            <v>"342200 - Travaux en cours T2 - OHADA"</v>
          </cell>
          <cell r="C490" t="str">
            <v>Travaux en cours T2</v>
          </cell>
          <cell r="D490" t="str">
            <v>OHADA</v>
          </cell>
          <cell r="E490" t="str">
            <v>342000 - Travaux en cours - OHADA</v>
          </cell>
          <cell r="F490">
            <v>342200</v>
          </cell>
          <cell r="G490" t="str">
            <v>0</v>
          </cell>
          <cell r="H490" t="str">
            <v>Asset</v>
          </cell>
          <cell r="I490" t="str">
            <v>Balance Sheet</v>
          </cell>
          <cell r="J490" t="str">
            <v>XAF</v>
          </cell>
          <cell r="K490" t="str">
            <v>Stocks et encours</v>
          </cell>
        </row>
        <row r="491">
          <cell r="A491" t="str">
            <v>A490</v>
          </cell>
          <cell r="B491" t="str">
            <v>"343000 - Produits intermédiaires en cours - OHADA"</v>
          </cell>
          <cell r="C491" t="str">
            <v>Produits intermédiaires en cours</v>
          </cell>
          <cell r="D491" t="str">
            <v>OHADA</v>
          </cell>
          <cell r="E491" t="str">
            <v>340000 - Produits en cours - OHADA</v>
          </cell>
          <cell r="F491">
            <v>343000</v>
          </cell>
          <cell r="G491" t="str">
            <v>1</v>
          </cell>
          <cell r="H491" t="str">
            <v>Asset</v>
          </cell>
          <cell r="I491" t="str">
            <v>Balance Sheet</v>
          </cell>
          <cell r="J491" t="str">
            <v>XAF</v>
          </cell>
          <cell r="K491" t="str">
            <v>Stocks et encours</v>
          </cell>
        </row>
        <row r="492">
          <cell r="A492" t="str">
            <v>A491</v>
          </cell>
          <cell r="B492" t="str">
            <v>"343100 - Produits intermédiaires A - OHADA"</v>
          </cell>
          <cell r="C492" t="str">
            <v>Produits intermédiaires A</v>
          </cell>
          <cell r="D492" t="str">
            <v>OHADA</v>
          </cell>
          <cell r="E492" t="str">
            <v>343000 - Produits intermédiaires en cours - OHADA</v>
          </cell>
          <cell r="F492">
            <v>343100</v>
          </cell>
          <cell r="G492" t="str">
            <v>0</v>
          </cell>
          <cell r="H492" t="str">
            <v>Asset</v>
          </cell>
          <cell r="I492" t="str">
            <v>Balance Sheet</v>
          </cell>
          <cell r="J492" t="str">
            <v>XAF</v>
          </cell>
          <cell r="K492" t="str">
            <v>Stocks et encours</v>
          </cell>
        </row>
        <row r="493">
          <cell r="A493" t="str">
            <v>A492</v>
          </cell>
          <cell r="B493" t="str">
            <v>"343200 - Produits intermédiaires B - OHADA"</v>
          </cell>
          <cell r="C493" t="str">
            <v>Produits intermédiaires B</v>
          </cell>
          <cell r="D493" t="str">
            <v>OHADA</v>
          </cell>
          <cell r="E493" t="str">
            <v>343000 - Produits intermédiaires en cours - OHADA</v>
          </cell>
          <cell r="F493">
            <v>343200</v>
          </cell>
          <cell r="G493" t="str">
            <v>0</v>
          </cell>
          <cell r="H493" t="str">
            <v>Asset</v>
          </cell>
          <cell r="I493" t="str">
            <v>Balance Sheet</v>
          </cell>
          <cell r="J493" t="str">
            <v>XAF</v>
          </cell>
          <cell r="K493" t="str">
            <v>Stocks et encours</v>
          </cell>
        </row>
        <row r="494">
          <cell r="A494" t="str">
            <v>A493</v>
          </cell>
          <cell r="B494" t="str">
            <v>"344000 - Produits résiduels en cours - OHADA"</v>
          </cell>
          <cell r="C494" t="str">
            <v>Produits résiduels en cours</v>
          </cell>
          <cell r="D494" t="str">
            <v>OHADA</v>
          </cell>
          <cell r="E494" t="str">
            <v>340000 - Produits en cours - OHADA</v>
          </cell>
          <cell r="F494">
            <v>344000</v>
          </cell>
          <cell r="G494" t="str">
            <v>1</v>
          </cell>
          <cell r="H494" t="str">
            <v>Asset</v>
          </cell>
          <cell r="I494" t="str">
            <v>Balance Sheet</v>
          </cell>
          <cell r="J494" t="str">
            <v>XAF</v>
          </cell>
          <cell r="K494" t="str">
            <v>Stocks et encours</v>
          </cell>
        </row>
        <row r="495">
          <cell r="A495" t="str">
            <v>A494</v>
          </cell>
          <cell r="B495" t="str">
            <v>"344100 - Produits résiduels A - OHADA"</v>
          </cell>
          <cell r="C495" t="str">
            <v>Produits résiduels A</v>
          </cell>
          <cell r="D495" t="str">
            <v>OHADA</v>
          </cell>
          <cell r="E495" t="str">
            <v>344000 - Produits résiduels en cours - OHADA</v>
          </cell>
          <cell r="F495">
            <v>344100</v>
          </cell>
          <cell r="G495" t="str">
            <v>0</v>
          </cell>
          <cell r="H495" t="str">
            <v>Asset</v>
          </cell>
          <cell r="I495" t="str">
            <v>Balance Sheet</v>
          </cell>
          <cell r="J495" t="str">
            <v>XAF</v>
          </cell>
          <cell r="K495" t="str">
            <v>Stocks et encours</v>
          </cell>
        </row>
        <row r="496">
          <cell r="A496" t="str">
            <v>A495</v>
          </cell>
          <cell r="B496" t="str">
            <v>"344200 - Produits résiduels B - OHADA"</v>
          </cell>
          <cell r="C496" t="str">
            <v>Produits résiduels B</v>
          </cell>
          <cell r="D496" t="str">
            <v>OHADA</v>
          </cell>
          <cell r="E496" t="str">
            <v>344000 - Produits résiduels en cours - OHADA</v>
          </cell>
          <cell r="F496">
            <v>344200</v>
          </cell>
          <cell r="G496" t="str">
            <v>0</v>
          </cell>
          <cell r="H496" t="str">
            <v>Asset</v>
          </cell>
          <cell r="I496" t="str">
            <v>Balance Sheet</v>
          </cell>
          <cell r="J496" t="str">
            <v>XAF</v>
          </cell>
          <cell r="K496" t="str">
            <v>Stocks et encours</v>
          </cell>
        </row>
        <row r="497">
          <cell r="A497" t="str">
            <v>A496</v>
          </cell>
          <cell r="B497" t="str">
            <v>"345000 - Actifs biologiques en cours - OHADA"</v>
          </cell>
          <cell r="C497" t="str">
            <v>Actifs biologiques en cours</v>
          </cell>
          <cell r="D497" t="str">
            <v>OHADA</v>
          </cell>
          <cell r="E497" t="str">
            <v>340000 - Produits en cours - OHADA</v>
          </cell>
          <cell r="F497">
            <v>345000</v>
          </cell>
          <cell r="G497" t="str">
            <v>1</v>
          </cell>
          <cell r="H497" t="str">
            <v>Asset</v>
          </cell>
          <cell r="I497" t="str">
            <v>Balance Sheet</v>
          </cell>
          <cell r="J497" t="str">
            <v>XAF</v>
          </cell>
          <cell r="K497" t="str">
            <v>Stocks et encours</v>
          </cell>
        </row>
        <row r="498">
          <cell r="A498" t="str">
            <v>A497</v>
          </cell>
          <cell r="B498" t="str">
            <v>"345100 - Animaux - OHADA"</v>
          </cell>
          <cell r="C498" t="str">
            <v>Animaux</v>
          </cell>
          <cell r="D498" t="str">
            <v>OHADA</v>
          </cell>
          <cell r="E498" t="str">
            <v>345000 - Actifs biologiques en cours - OHADA</v>
          </cell>
          <cell r="F498">
            <v>345100</v>
          </cell>
          <cell r="G498" t="str">
            <v>0</v>
          </cell>
          <cell r="H498" t="str">
            <v>Asset</v>
          </cell>
          <cell r="I498" t="str">
            <v>Balance Sheet</v>
          </cell>
          <cell r="J498" t="str">
            <v>XAF</v>
          </cell>
          <cell r="K498" t="str">
            <v>Stocks et encours</v>
          </cell>
        </row>
        <row r="499">
          <cell r="A499" t="str">
            <v>A498</v>
          </cell>
          <cell r="B499" t="str">
            <v>"345200 - Végétaux - OHADA"</v>
          </cell>
          <cell r="C499" t="str">
            <v>Végétaux</v>
          </cell>
          <cell r="D499" t="str">
            <v>OHADA</v>
          </cell>
          <cell r="E499" t="str">
            <v>345000 - Actifs biologiques en cours - OHADA</v>
          </cell>
          <cell r="F499">
            <v>345200</v>
          </cell>
          <cell r="G499" t="str">
            <v>0</v>
          </cell>
          <cell r="H499" t="str">
            <v>Asset</v>
          </cell>
          <cell r="I499" t="str">
            <v>Balance Sheet</v>
          </cell>
          <cell r="J499" t="str">
            <v>XAF</v>
          </cell>
          <cell r="K499" t="str">
            <v>Stocks et encours</v>
          </cell>
        </row>
        <row r="500">
          <cell r="A500" t="str">
            <v>A499</v>
          </cell>
          <cell r="B500" t="str">
            <v>"350000 - Services en cours - OHADA"</v>
          </cell>
          <cell r="C500" t="str">
            <v>Services en cours</v>
          </cell>
          <cell r="D500" t="str">
            <v>OHADA</v>
          </cell>
          <cell r="E500" t="str">
            <v>3 - Comptes de Stocks - OHADA</v>
          </cell>
          <cell r="F500">
            <v>350000</v>
          </cell>
          <cell r="G500" t="str">
            <v>1</v>
          </cell>
          <cell r="H500" t="str">
            <v>Asset</v>
          </cell>
          <cell r="I500" t="str">
            <v>Balance Sheet</v>
          </cell>
          <cell r="J500" t="str">
            <v>XAF</v>
          </cell>
          <cell r="K500" t="str">
            <v>Stocks et encours</v>
          </cell>
        </row>
        <row r="501">
          <cell r="A501" t="str">
            <v>A500</v>
          </cell>
          <cell r="B501" t="str">
            <v>"351000 - Études en cours - OHADA"</v>
          </cell>
          <cell r="C501" t="str">
            <v>Études en cours</v>
          </cell>
          <cell r="D501" t="str">
            <v>OHADA</v>
          </cell>
          <cell r="E501" t="str">
            <v>350000 - Services en cours - OHADA</v>
          </cell>
          <cell r="F501">
            <v>351000</v>
          </cell>
          <cell r="G501" t="str">
            <v>1</v>
          </cell>
          <cell r="H501" t="str">
            <v>Asset</v>
          </cell>
          <cell r="I501" t="str">
            <v>Balance Sheet</v>
          </cell>
          <cell r="J501" t="str">
            <v>XAF</v>
          </cell>
          <cell r="K501" t="str">
            <v>Stocks et encours</v>
          </cell>
        </row>
        <row r="502">
          <cell r="A502" t="str">
            <v>A501</v>
          </cell>
          <cell r="B502" t="str">
            <v>"351100 - Études en cours E1 - OHADA"</v>
          </cell>
          <cell r="C502" t="str">
            <v>Études en cours E1</v>
          </cell>
          <cell r="D502" t="str">
            <v>OHADA</v>
          </cell>
          <cell r="E502" t="str">
            <v>351000 - Études en cours - OHADA</v>
          </cell>
          <cell r="F502">
            <v>351100</v>
          </cell>
          <cell r="G502" t="str">
            <v>0</v>
          </cell>
          <cell r="H502" t="str">
            <v>Asset</v>
          </cell>
          <cell r="I502" t="str">
            <v>Balance Sheet</v>
          </cell>
          <cell r="J502" t="str">
            <v>XAF</v>
          </cell>
          <cell r="K502" t="str">
            <v>Stocks et encours</v>
          </cell>
        </row>
        <row r="503">
          <cell r="A503" t="str">
            <v>A502</v>
          </cell>
          <cell r="B503" t="str">
            <v>"351200 - Études en cours E2 - OHADA"</v>
          </cell>
          <cell r="C503" t="str">
            <v>Études en cours E2</v>
          </cell>
          <cell r="D503" t="str">
            <v>OHADA</v>
          </cell>
          <cell r="E503" t="str">
            <v>351000 - Études en cours - OHADA</v>
          </cell>
          <cell r="F503">
            <v>351200</v>
          </cell>
          <cell r="G503" t="str">
            <v>0</v>
          </cell>
          <cell r="H503" t="str">
            <v>Asset</v>
          </cell>
          <cell r="I503" t="str">
            <v>Balance Sheet</v>
          </cell>
          <cell r="J503" t="str">
            <v>XAF</v>
          </cell>
          <cell r="K503" t="str">
            <v>Stocks et encours</v>
          </cell>
        </row>
        <row r="504">
          <cell r="A504" t="str">
            <v>A503</v>
          </cell>
          <cell r="B504" t="str">
            <v>"352000 - Prestations de services en cours - OHADA"</v>
          </cell>
          <cell r="C504" t="str">
            <v>Prestations de services en cours</v>
          </cell>
          <cell r="D504" t="str">
            <v>OHADA</v>
          </cell>
          <cell r="E504" t="str">
            <v>350000 - Services en cours - OHADA</v>
          </cell>
          <cell r="F504">
            <v>352000</v>
          </cell>
          <cell r="G504" t="str">
            <v>1</v>
          </cell>
          <cell r="H504" t="str">
            <v>Asset</v>
          </cell>
          <cell r="I504" t="str">
            <v>Balance Sheet</v>
          </cell>
          <cell r="J504" t="str">
            <v>XAF</v>
          </cell>
          <cell r="K504" t="str">
            <v>Stocks et encours</v>
          </cell>
        </row>
        <row r="505">
          <cell r="A505" t="str">
            <v>A504</v>
          </cell>
          <cell r="B505" t="str">
            <v>"352100 - Prestations de services S1 - OHADA"</v>
          </cell>
          <cell r="C505" t="str">
            <v>Prestations de services S1</v>
          </cell>
          <cell r="D505" t="str">
            <v>OHADA</v>
          </cell>
          <cell r="E505" t="str">
            <v>352000 - Prestations de services en cours - OHADA</v>
          </cell>
          <cell r="F505">
            <v>352100</v>
          </cell>
          <cell r="G505" t="str">
            <v>0</v>
          </cell>
          <cell r="H505" t="str">
            <v>Asset</v>
          </cell>
          <cell r="I505" t="str">
            <v>Balance Sheet</v>
          </cell>
          <cell r="J505" t="str">
            <v>XAF</v>
          </cell>
          <cell r="K505" t="str">
            <v>Stocks et encours</v>
          </cell>
        </row>
        <row r="506">
          <cell r="A506" t="str">
            <v>A505</v>
          </cell>
          <cell r="B506" t="str">
            <v>"352200 - Prestations de services S2 - OHADA"</v>
          </cell>
          <cell r="C506" t="str">
            <v>Prestations de services S2</v>
          </cell>
          <cell r="D506" t="str">
            <v>OHADA</v>
          </cell>
          <cell r="E506" t="str">
            <v>352000 - Prestations de services en cours - OHADA</v>
          </cell>
          <cell r="F506">
            <v>352200</v>
          </cell>
          <cell r="G506" t="str">
            <v>0</v>
          </cell>
          <cell r="H506" t="str">
            <v>Asset</v>
          </cell>
          <cell r="I506" t="str">
            <v>Balance Sheet</v>
          </cell>
          <cell r="J506" t="str">
            <v>XAF</v>
          </cell>
          <cell r="K506" t="str">
            <v>Stocks et encours</v>
          </cell>
        </row>
        <row r="507">
          <cell r="A507" t="str">
            <v>A506</v>
          </cell>
          <cell r="B507" t="str">
            <v>"360000 - Produits finis - OHADA"</v>
          </cell>
          <cell r="C507" t="str">
            <v>Produits finis</v>
          </cell>
          <cell r="D507" t="str">
            <v>OHADA</v>
          </cell>
          <cell r="E507" t="str">
            <v>3 - Comptes de Stocks - OHADA</v>
          </cell>
          <cell r="F507">
            <v>360000</v>
          </cell>
          <cell r="G507" t="str">
            <v>1</v>
          </cell>
          <cell r="H507" t="str">
            <v>Asset</v>
          </cell>
          <cell r="I507" t="str">
            <v>Balance Sheet</v>
          </cell>
          <cell r="J507" t="str">
            <v>XAF</v>
          </cell>
          <cell r="K507" t="str">
            <v>Stocks et encours</v>
          </cell>
        </row>
        <row r="508">
          <cell r="A508" t="str">
            <v>A507</v>
          </cell>
          <cell r="B508" t="str">
            <v>"361000 - Produits finis A - OHADA"</v>
          </cell>
          <cell r="C508" t="str">
            <v>Produits finis A</v>
          </cell>
          <cell r="D508" t="str">
            <v>OHADA</v>
          </cell>
          <cell r="E508" t="str">
            <v>360000 - Produits finis - OHADA</v>
          </cell>
          <cell r="F508">
            <v>361000</v>
          </cell>
          <cell r="G508" t="str">
            <v>0</v>
          </cell>
          <cell r="H508" t="str">
            <v>Asset</v>
          </cell>
          <cell r="I508" t="str">
            <v>Balance Sheet</v>
          </cell>
          <cell r="J508" t="str">
            <v>XAF</v>
          </cell>
          <cell r="K508" t="str">
            <v>Stocks et encours</v>
          </cell>
        </row>
        <row r="509">
          <cell r="A509" t="str">
            <v>A508</v>
          </cell>
          <cell r="B509" t="str">
            <v>"362000 - Produits finis B - OHADA"</v>
          </cell>
          <cell r="C509" t="str">
            <v>Produits finis B</v>
          </cell>
          <cell r="D509" t="str">
            <v>OHADA</v>
          </cell>
          <cell r="E509" t="str">
            <v>360000 - Produits finis - OHADA</v>
          </cell>
          <cell r="F509">
            <v>362000</v>
          </cell>
          <cell r="G509" t="str">
            <v>0</v>
          </cell>
          <cell r="H509" t="str">
            <v>Asset</v>
          </cell>
          <cell r="I509" t="str">
            <v>Balance Sheet</v>
          </cell>
          <cell r="J509" t="str">
            <v>XAF</v>
          </cell>
          <cell r="K509" t="str">
            <v>Stocks et encours</v>
          </cell>
        </row>
        <row r="510">
          <cell r="A510" t="str">
            <v>A509</v>
          </cell>
          <cell r="B510" t="str">
            <v>"363000 - Actifs biologiques - OHADA"</v>
          </cell>
          <cell r="C510" t="str">
            <v>Actifs biologiques</v>
          </cell>
          <cell r="D510" t="str">
            <v>OHADA</v>
          </cell>
          <cell r="E510" t="str">
            <v>360000 - Produits finis - OHADA</v>
          </cell>
          <cell r="F510">
            <v>363000</v>
          </cell>
          <cell r="G510" t="str">
            <v>1</v>
          </cell>
          <cell r="H510" t="str">
            <v>Asset</v>
          </cell>
          <cell r="I510" t="str">
            <v>Balance Sheet</v>
          </cell>
          <cell r="J510" t="str">
            <v>XAF</v>
          </cell>
          <cell r="K510" t="str">
            <v>Stocks et encours</v>
          </cell>
        </row>
        <row r="511">
          <cell r="A511" t="str">
            <v>A510</v>
          </cell>
          <cell r="B511" t="str">
            <v>"363100 - Animaux - OHADA"</v>
          </cell>
          <cell r="C511" t="str">
            <v>Animaux</v>
          </cell>
          <cell r="D511" t="str">
            <v>OHADA</v>
          </cell>
          <cell r="E511" t="str">
            <v>363000 - Actifs biologiques - OHADA</v>
          </cell>
          <cell r="F511">
            <v>363100</v>
          </cell>
          <cell r="G511" t="str">
            <v>0</v>
          </cell>
          <cell r="H511" t="str">
            <v>Asset</v>
          </cell>
          <cell r="I511" t="str">
            <v>Balance Sheet</v>
          </cell>
          <cell r="J511" t="str">
            <v>XAF</v>
          </cell>
          <cell r="K511" t="str">
            <v>Stocks et encours</v>
          </cell>
        </row>
        <row r="512">
          <cell r="A512" t="str">
            <v>A511</v>
          </cell>
          <cell r="B512" t="str">
            <v>"363200 - Végétaux - OHADA"</v>
          </cell>
          <cell r="C512" t="str">
            <v>Végétaux</v>
          </cell>
          <cell r="D512" t="str">
            <v>OHADA</v>
          </cell>
          <cell r="E512" t="str">
            <v>363000 - Actifs biologiques - OHADA</v>
          </cell>
          <cell r="F512">
            <v>363200</v>
          </cell>
          <cell r="G512" t="str">
            <v>0</v>
          </cell>
          <cell r="H512" t="str">
            <v>Asset</v>
          </cell>
          <cell r="I512" t="str">
            <v>Balance Sheet</v>
          </cell>
          <cell r="J512" t="str">
            <v>XAF</v>
          </cell>
          <cell r="K512" t="str">
            <v>Stocks et encours</v>
          </cell>
        </row>
        <row r="513">
          <cell r="A513" t="str">
            <v>A512</v>
          </cell>
          <cell r="B513" t="str">
            <v>"363800 - Autres stocks (activités annexes) - OHADA"</v>
          </cell>
          <cell r="C513" t="str">
            <v>Autres stocks (activités annexes)</v>
          </cell>
          <cell r="D513" t="str">
            <v>OHADA</v>
          </cell>
          <cell r="E513" t="str">
            <v>363000 - Actifs biologiques - OHADA</v>
          </cell>
          <cell r="F513">
            <v>363800</v>
          </cell>
          <cell r="G513" t="str">
            <v>0</v>
          </cell>
          <cell r="H513" t="str">
            <v>Asset</v>
          </cell>
          <cell r="I513" t="str">
            <v>Balance Sheet</v>
          </cell>
          <cell r="J513" t="str">
            <v>XAF</v>
          </cell>
          <cell r="K513" t="str">
            <v>Stocks et encours</v>
          </cell>
        </row>
        <row r="514">
          <cell r="A514" t="str">
            <v>A513</v>
          </cell>
          <cell r="B514" t="str">
            <v>"370000 - Produits intermédiaires et résiduels - OHADA"</v>
          </cell>
          <cell r="C514" t="str">
            <v>Produits intermédiaires et résiduels</v>
          </cell>
          <cell r="D514" t="str">
            <v>OHADA</v>
          </cell>
          <cell r="E514" t="str">
            <v>3 - Comptes de Stocks - OHADA</v>
          </cell>
          <cell r="F514">
            <v>370000</v>
          </cell>
          <cell r="G514" t="str">
            <v>1</v>
          </cell>
          <cell r="H514" t="str">
            <v>Asset</v>
          </cell>
          <cell r="I514" t="str">
            <v>Balance Sheet</v>
          </cell>
          <cell r="J514" t="str">
            <v>XAF</v>
          </cell>
          <cell r="K514" t="str">
            <v>Stocks et encours</v>
          </cell>
        </row>
        <row r="515">
          <cell r="A515" t="str">
            <v>A514</v>
          </cell>
          <cell r="B515" t="str">
            <v>"371000 - Produits intermédiaires - OHADA"</v>
          </cell>
          <cell r="C515" t="str">
            <v>Produits intermédiaires</v>
          </cell>
          <cell r="D515" t="str">
            <v>OHADA</v>
          </cell>
          <cell r="E515" t="str">
            <v>370000 - Produits intermédiaires et résiduels - OHADA</v>
          </cell>
          <cell r="F515">
            <v>371000</v>
          </cell>
          <cell r="G515" t="str">
            <v>1</v>
          </cell>
          <cell r="H515" t="str">
            <v>Asset</v>
          </cell>
          <cell r="I515" t="str">
            <v>Balance Sheet</v>
          </cell>
          <cell r="J515" t="str">
            <v>XAF</v>
          </cell>
          <cell r="K515" t="str">
            <v>Stocks et encours</v>
          </cell>
        </row>
        <row r="516">
          <cell r="A516" t="str">
            <v>A515</v>
          </cell>
          <cell r="B516" t="str">
            <v>"371100 - Produits intermédiaires A - OHADA"</v>
          </cell>
          <cell r="C516" t="str">
            <v>Produits intermédiaires A</v>
          </cell>
          <cell r="D516" t="str">
            <v>OHADA</v>
          </cell>
          <cell r="E516" t="str">
            <v>371000 - Produits intermédiaires - OHADA</v>
          </cell>
          <cell r="F516">
            <v>371100</v>
          </cell>
          <cell r="G516" t="str">
            <v>0</v>
          </cell>
          <cell r="H516" t="str">
            <v>Asset</v>
          </cell>
          <cell r="I516" t="str">
            <v>Balance Sheet</v>
          </cell>
          <cell r="J516" t="str">
            <v>XAF</v>
          </cell>
          <cell r="K516" t="str">
            <v>Stocks et encours</v>
          </cell>
        </row>
        <row r="517">
          <cell r="A517" t="str">
            <v>A516</v>
          </cell>
          <cell r="B517" t="str">
            <v>"371200 - Produits intermédiaires B - OHADA"</v>
          </cell>
          <cell r="C517" t="str">
            <v>Produits intermédiaires B</v>
          </cell>
          <cell r="D517" t="str">
            <v>OHADA</v>
          </cell>
          <cell r="E517" t="str">
            <v>371000 - Produits intermédiaires - OHADA</v>
          </cell>
          <cell r="F517">
            <v>371200</v>
          </cell>
          <cell r="G517" t="str">
            <v>0</v>
          </cell>
          <cell r="H517" t="str">
            <v>Asset</v>
          </cell>
          <cell r="I517" t="str">
            <v>Balance Sheet</v>
          </cell>
          <cell r="J517" t="str">
            <v>XAF</v>
          </cell>
          <cell r="K517" t="str">
            <v>Stocks et encours</v>
          </cell>
        </row>
        <row r="518">
          <cell r="A518" t="str">
            <v>A517</v>
          </cell>
          <cell r="B518" t="str">
            <v>"372000 - Produits résiduels - OHADA"</v>
          </cell>
          <cell r="C518" t="str">
            <v>Produits résiduels</v>
          </cell>
          <cell r="D518" t="str">
            <v>OHADA</v>
          </cell>
          <cell r="E518" t="str">
            <v>370000 - Produits intermédiaires et résiduels - OHADA</v>
          </cell>
          <cell r="F518">
            <v>372000</v>
          </cell>
          <cell r="G518" t="str">
            <v>1</v>
          </cell>
          <cell r="H518" t="str">
            <v>Asset</v>
          </cell>
          <cell r="I518" t="str">
            <v>Balance Sheet</v>
          </cell>
          <cell r="J518" t="str">
            <v>XAF</v>
          </cell>
          <cell r="K518" t="str">
            <v>Stocks et encours</v>
          </cell>
        </row>
        <row r="519">
          <cell r="A519" t="str">
            <v>A518</v>
          </cell>
          <cell r="B519" t="str">
            <v>"372100 - Déchets - OHADA"</v>
          </cell>
          <cell r="C519" t="str">
            <v>Déchets</v>
          </cell>
          <cell r="D519" t="str">
            <v>OHADA</v>
          </cell>
          <cell r="E519" t="str">
            <v>372000 - Produits résiduels - OHADA</v>
          </cell>
          <cell r="F519">
            <v>372100</v>
          </cell>
          <cell r="G519" t="str">
            <v>0</v>
          </cell>
          <cell r="H519" t="str">
            <v>Asset</v>
          </cell>
          <cell r="I519" t="str">
            <v>Balance Sheet</v>
          </cell>
          <cell r="J519" t="str">
            <v>XAF</v>
          </cell>
          <cell r="K519" t="str">
            <v>Stocks et encours</v>
          </cell>
        </row>
        <row r="520">
          <cell r="A520" t="str">
            <v>A519</v>
          </cell>
          <cell r="B520" t="str">
            <v>"372200 - Rebuts - OHADA"</v>
          </cell>
          <cell r="C520" t="str">
            <v>Rebuts</v>
          </cell>
          <cell r="D520" t="str">
            <v>OHADA</v>
          </cell>
          <cell r="E520" t="str">
            <v>372000 - Produits résiduels - OHADA</v>
          </cell>
          <cell r="F520">
            <v>372200</v>
          </cell>
          <cell r="G520" t="str">
            <v>0</v>
          </cell>
          <cell r="H520" t="str">
            <v>Asset</v>
          </cell>
          <cell r="I520" t="str">
            <v>Balance Sheet</v>
          </cell>
          <cell r="J520" t="str">
            <v>XAF</v>
          </cell>
          <cell r="K520" t="str">
            <v>Stocks et encours</v>
          </cell>
        </row>
        <row r="521">
          <cell r="A521" t="str">
            <v>A520</v>
          </cell>
          <cell r="B521" t="str">
            <v>"372300 - Matières de Récupération - OHADA"</v>
          </cell>
          <cell r="C521" t="str">
            <v>Matières de Récupération</v>
          </cell>
          <cell r="D521" t="str">
            <v>OHADA</v>
          </cell>
          <cell r="E521" t="str">
            <v>372000 - Produits résiduels - OHADA</v>
          </cell>
          <cell r="F521">
            <v>372300</v>
          </cell>
          <cell r="G521" t="str">
            <v>0</v>
          </cell>
          <cell r="H521" t="str">
            <v>Asset</v>
          </cell>
          <cell r="I521" t="str">
            <v>Balance Sheet</v>
          </cell>
          <cell r="J521" t="str">
            <v>XAF</v>
          </cell>
          <cell r="K521" t="str">
            <v>Stocks et encours</v>
          </cell>
        </row>
        <row r="522">
          <cell r="A522" t="str">
            <v>A521</v>
          </cell>
          <cell r="B522" t="str">
            <v>"373000 - Actifs biologiques - OHADA"</v>
          </cell>
          <cell r="C522" t="str">
            <v>Actifs biologiques</v>
          </cell>
          <cell r="D522" t="str">
            <v>OHADA</v>
          </cell>
          <cell r="E522" t="str">
            <v>370000 - Produits intermédiaires et résiduels - OHADA</v>
          </cell>
          <cell r="F522">
            <v>373000</v>
          </cell>
          <cell r="G522" t="str">
            <v>1</v>
          </cell>
          <cell r="H522" t="str">
            <v>Asset</v>
          </cell>
          <cell r="I522" t="str">
            <v>Balance Sheet</v>
          </cell>
          <cell r="J522" t="str">
            <v>XAF</v>
          </cell>
          <cell r="K522" t="str">
            <v>Stocks et encours</v>
          </cell>
        </row>
        <row r="523">
          <cell r="A523" t="str">
            <v>A522</v>
          </cell>
          <cell r="B523" t="str">
            <v>"373100 - Animaux - OHADA"</v>
          </cell>
          <cell r="C523" t="str">
            <v>Animaux</v>
          </cell>
          <cell r="D523" t="str">
            <v>OHADA</v>
          </cell>
          <cell r="E523" t="str">
            <v>373000 - Actifs biologiques - OHADA</v>
          </cell>
          <cell r="F523">
            <v>373100</v>
          </cell>
          <cell r="G523" t="str">
            <v>0</v>
          </cell>
          <cell r="H523" t="str">
            <v>Asset</v>
          </cell>
          <cell r="I523" t="str">
            <v>Balance Sheet</v>
          </cell>
          <cell r="J523" t="str">
            <v>XAF</v>
          </cell>
          <cell r="K523" t="str">
            <v>Stocks et encours</v>
          </cell>
        </row>
        <row r="524">
          <cell r="A524" t="str">
            <v>A523</v>
          </cell>
          <cell r="B524" t="str">
            <v>"373200 - Végétaux - OHADA"</v>
          </cell>
          <cell r="C524" t="str">
            <v>Végétaux</v>
          </cell>
          <cell r="D524" t="str">
            <v>OHADA</v>
          </cell>
          <cell r="E524" t="str">
            <v>373000 - Actifs biologiques - OHADA</v>
          </cell>
          <cell r="F524">
            <v>373200</v>
          </cell>
          <cell r="G524" t="str">
            <v>0</v>
          </cell>
          <cell r="H524" t="str">
            <v>Asset</v>
          </cell>
          <cell r="I524" t="str">
            <v>Balance Sheet</v>
          </cell>
          <cell r="J524" t="str">
            <v>XAF</v>
          </cell>
          <cell r="K524" t="str">
            <v>Stocks et encours</v>
          </cell>
        </row>
        <row r="525">
          <cell r="A525" t="str">
            <v>A524</v>
          </cell>
          <cell r="B525" t="str">
            <v>"373800 - Autres stocks (activités annexes) - OHADA"</v>
          </cell>
          <cell r="C525" t="str">
            <v>Autres stocks (activités annexes)</v>
          </cell>
          <cell r="D525" t="str">
            <v>OHADA</v>
          </cell>
          <cell r="E525" t="str">
            <v>373000 - Actifs biologiques - OHADA</v>
          </cell>
          <cell r="F525">
            <v>373800</v>
          </cell>
          <cell r="G525" t="str">
            <v>0</v>
          </cell>
          <cell r="H525" t="str">
            <v>Asset</v>
          </cell>
          <cell r="I525" t="str">
            <v>Balance Sheet</v>
          </cell>
          <cell r="J525" t="str">
            <v>XAF</v>
          </cell>
          <cell r="K525" t="str">
            <v>Stocks et encours</v>
          </cell>
        </row>
        <row r="526">
          <cell r="A526" t="str">
            <v>A525</v>
          </cell>
          <cell r="B526" t="str">
            <v>"380000 - Stocks en cours de route, en consignation ou en dépôt - OHADA"</v>
          </cell>
          <cell r="C526" t="str">
            <v>Stocks en cours de route, en consignation ou en dépôt</v>
          </cell>
          <cell r="D526" t="str">
            <v>OHADA</v>
          </cell>
          <cell r="E526" t="str">
            <v>3 - Comptes de Stocks - OHADA</v>
          </cell>
          <cell r="F526">
            <v>380000</v>
          </cell>
          <cell r="G526" t="str">
            <v>1</v>
          </cell>
          <cell r="H526" t="str">
            <v>Asset</v>
          </cell>
          <cell r="I526" t="str">
            <v>Balance Sheet</v>
          </cell>
          <cell r="J526" t="str">
            <v>XAF</v>
          </cell>
          <cell r="K526" t="str">
            <v>Stocks et encours</v>
          </cell>
        </row>
        <row r="527">
          <cell r="A527" t="str">
            <v>A526</v>
          </cell>
          <cell r="B527" t="str">
            <v>"381000 - Marchandises en cours de route - OHADA"</v>
          </cell>
          <cell r="C527" t="str">
            <v>Marchandises en cours de route</v>
          </cell>
          <cell r="D527" t="str">
            <v>OHADA</v>
          </cell>
          <cell r="E527" t="str">
            <v>380000 - Stocks en cours de route, en consignation ou en dépôt - OHADA</v>
          </cell>
          <cell r="F527">
            <v>381000</v>
          </cell>
          <cell r="G527" t="str">
            <v>0</v>
          </cell>
          <cell r="H527" t="str">
            <v>Asset</v>
          </cell>
          <cell r="I527" t="str">
            <v>Balance Sheet</v>
          </cell>
          <cell r="J527" t="str">
            <v>XAF</v>
          </cell>
          <cell r="K527" t="str">
            <v>Stocks et encours</v>
          </cell>
        </row>
        <row r="528">
          <cell r="A528" t="str">
            <v>A527</v>
          </cell>
          <cell r="B528" t="str">
            <v>"382000 - Matières premières et fournitures liées en cours de route - OHADA"</v>
          </cell>
          <cell r="C528" t="str">
            <v>Matières premières et fournitures liées en cours de route</v>
          </cell>
          <cell r="D528" t="str">
            <v>OHADA</v>
          </cell>
          <cell r="E528" t="str">
            <v>380000 - Stocks en cours de route, en consignation ou en dépôt - OHADA</v>
          </cell>
          <cell r="F528">
            <v>382000</v>
          </cell>
          <cell r="G528" t="str">
            <v>0</v>
          </cell>
          <cell r="H528" t="str">
            <v>Asset</v>
          </cell>
          <cell r="I528" t="str">
            <v>Balance Sheet</v>
          </cell>
          <cell r="J528" t="str">
            <v>XAF</v>
          </cell>
          <cell r="K528" t="str">
            <v>Stocks et encours</v>
          </cell>
        </row>
        <row r="529">
          <cell r="A529" t="str">
            <v>A528</v>
          </cell>
          <cell r="B529" t="str">
            <v>"383000 - Autres approvisionnements en cours de route - OHADA"</v>
          </cell>
          <cell r="C529" t="str">
            <v>Autres approvisionnements en cours de route</v>
          </cell>
          <cell r="D529" t="str">
            <v>OHADA</v>
          </cell>
          <cell r="E529" t="str">
            <v>380000 - Stocks en cours de route, en consignation ou en dépôt - OHADA</v>
          </cell>
          <cell r="F529">
            <v>383000</v>
          </cell>
          <cell r="G529" t="str">
            <v>0</v>
          </cell>
          <cell r="H529" t="str">
            <v>Asset</v>
          </cell>
          <cell r="I529" t="str">
            <v>Balance Sheet</v>
          </cell>
          <cell r="J529" t="str">
            <v>XAF</v>
          </cell>
          <cell r="K529" t="str">
            <v>Stocks et encours</v>
          </cell>
        </row>
        <row r="530">
          <cell r="A530" t="str">
            <v>A529</v>
          </cell>
          <cell r="B530" t="str">
            <v>"386000 - Produits finis en cours de route - OHADA"</v>
          </cell>
          <cell r="C530" t="str">
            <v>Produits finis en cours de route</v>
          </cell>
          <cell r="D530" t="str">
            <v>OHADA</v>
          </cell>
          <cell r="E530" t="str">
            <v>380000 - Stocks en cours de route, en consignation ou en dépôt - OHADA</v>
          </cell>
          <cell r="F530">
            <v>386000</v>
          </cell>
          <cell r="G530" t="str">
            <v>0</v>
          </cell>
          <cell r="H530" t="str">
            <v>Asset</v>
          </cell>
          <cell r="I530" t="str">
            <v>Balance Sheet</v>
          </cell>
          <cell r="J530" t="str">
            <v>XAF</v>
          </cell>
          <cell r="K530" t="str">
            <v>Stocks et encours</v>
          </cell>
        </row>
        <row r="531">
          <cell r="A531" t="str">
            <v>A530</v>
          </cell>
          <cell r="B531" t="str">
            <v>"387000 - Stock en consignation ou en dépôt - OHADA"</v>
          </cell>
          <cell r="C531" t="str">
            <v>Stock en consignation ou en dépôt</v>
          </cell>
          <cell r="D531" t="str">
            <v>OHADA</v>
          </cell>
          <cell r="E531" t="str">
            <v>380000 - Stocks en cours de route, en consignation ou en dépôt - OHADA</v>
          </cell>
          <cell r="F531">
            <v>387000</v>
          </cell>
          <cell r="G531" t="str">
            <v>1</v>
          </cell>
          <cell r="H531" t="str">
            <v>Asset</v>
          </cell>
          <cell r="I531" t="str">
            <v>Balance Sheet</v>
          </cell>
          <cell r="J531" t="str">
            <v>XAF</v>
          </cell>
          <cell r="K531" t="str">
            <v>Stocks et encours</v>
          </cell>
        </row>
        <row r="532">
          <cell r="A532" t="str">
            <v>A531</v>
          </cell>
          <cell r="B532" t="str">
            <v>"387100 - Stock en consignation - OHADA"</v>
          </cell>
          <cell r="C532" t="str">
            <v>Stock en consignation</v>
          </cell>
          <cell r="D532" t="str">
            <v>OHADA</v>
          </cell>
          <cell r="E532" t="str">
            <v>387000 - Stock en consignation ou en dépôt - OHADA</v>
          </cell>
          <cell r="F532">
            <v>387100</v>
          </cell>
          <cell r="G532" t="str">
            <v>0</v>
          </cell>
          <cell r="H532" t="str">
            <v>Asset</v>
          </cell>
          <cell r="I532" t="str">
            <v>Balance Sheet</v>
          </cell>
          <cell r="J532" t="str">
            <v>XAF</v>
          </cell>
          <cell r="K532" t="str">
            <v>Stocks et encours</v>
          </cell>
        </row>
        <row r="533">
          <cell r="A533" t="str">
            <v>A532</v>
          </cell>
          <cell r="B533" t="str">
            <v>"387200 - Stock en dépôt - OHADA"</v>
          </cell>
          <cell r="C533" t="str">
            <v>Stock en dépôt</v>
          </cell>
          <cell r="D533" t="str">
            <v>OHADA</v>
          </cell>
          <cell r="E533" t="str">
            <v>387000 - Stock en consignation ou en dépôt - OHADA</v>
          </cell>
          <cell r="F533">
            <v>387200</v>
          </cell>
          <cell r="G533" t="str">
            <v>0</v>
          </cell>
          <cell r="H533" t="str">
            <v>Asset</v>
          </cell>
          <cell r="I533" t="str">
            <v>Balance Sheet</v>
          </cell>
          <cell r="J533" t="str">
            <v>XAF</v>
          </cell>
          <cell r="K533" t="str">
            <v>Stocks et encours</v>
          </cell>
        </row>
        <row r="534">
          <cell r="A534" t="str">
            <v>A533</v>
          </cell>
          <cell r="B534" t="str">
            <v>"388000 - Stock provenant d’immobilisations mises hors service ou au rebut - OHADA"</v>
          </cell>
          <cell r="C534" t="str">
            <v>Stock provenant d’immobilisations mises hors service ou au rebut</v>
          </cell>
          <cell r="D534" t="str">
            <v>OHADA</v>
          </cell>
          <cell r="E534" t="str">
            <v>380000 - Stocks en cours de route, en consignation ou en dépôt - OHADA</v>
          </cell>
          <cell r="F534">
            <v>388000</v>
          </cell>
          <cell r="G534" t="str">
            <v>0</v>
          </cell>
          <cell r="H534" t="str">
            <v>Asset</v>
          </cell>
          <cell r="I534" t="str">
            <v>Balance Sheet</v>
          </cell>
          <cell r="J534" t="str">
            <v>XAF</v>
          </cell>
          <cell r="K534" t="str">
            <v>Stocks et encours</v>
          </cell>
        </row>
        <row r="535">
          <cell r="A535" t="str">
            <v>A534</v>
          </cell>
          <cell r="B535" t="str">
            <v>"390000 - Dépréciations des stocks et encours de production - OHADA"</v>
          </cell>
          <cell r="C535" t="str">
            <v>Dépréciations des stocks et encours de production</v>
          </cell>
          <cell r="D535" t="str">
            <v>OHADA</v>
          </cell>
          <cell r="E535" t="str">
            <v>3 - Comptes de Stocks - OHADA</v>
          </cell>
          <cell r="F535">
            <v>390000</v>
          </cell>
          <cell r="G535" t="str">
            <v>1</v>
          </cell>
          <cell r="H535" t="str">
            <v>Asset</v>
          </cell>
          <cell r="I535" t="str">
            <v>Balance Sheet</v>
          </cell>
          <cell r="J535" t="str">
            <v>XAF</v>
          </cell>
          <cell r="K535" t="str">
            <v>Dépréciation des stocks et encours</v>
          </cell>
        </row>
        <row r="536">
          <cell r="A536" t="str">
            <v>A535</v>
          </cell>
          <cell r="B536" t="str">
            <v>"391000 - Dépréciations des stocks de marchandises - OHADA"</v>
          </cell>
          <cell r="C536" t="str">
            <v>Dépréciations des stocks de marchandises</v>
          </cell>
          <cell r="D536" t="str">
            <v>OHADA</v>
          </cell>
          <cell r="E536" t="str">
            <v>390000 - Dépréciations des stocks et encours de production - OHADA</v>
          </cell>
          <cell r="F536">
            <v>391000</v>
          </cell>
          <cell r="G536" t="str">
            <v>0</v>
          </cell>
          <cell r="H536" t="str">
            <v>Asset</v>
          </cell>
          <cell r="I536" t="str">
            <v>Balance Sheet</v>
          </cell>
          <cell r="J536" t="str">
            <v>XAF</v>
          </cell>
          <cell r="K536" t="str">
            <v>Dépréciation des stocks et encours</v>
          </cell>
        </row>
        <row r="537">
          <cell r="A537" t="str">
            <v>A536</v>
          </cell>
          <cell r="B537" t="str">
            <v>"392000 - Dépréciations des stocks de matières premières et fournitures liées - OHADA"</v>
          </cell>
          <cell r="C537" t="str">
            <v>Dépréciations des stocks de matières premières et fournitures liées</v>
          </cell>
          <cell r="D537" t="str">
            <v>OHADA</v>
          </cell>
          <cell r="E537" t="str">
            <v>390000 - Dépréciations des stocks et encours de production - OHADA</v>
          </cell>
          <cell r="F537">
            <v>392000</v>
          </cell>
          <cell r="G537" t="str">
            <v>0</v>
          </cell>
          <cell r="H537" t="str">
            <v>Asset</v>
          </cell>
          <cell r="I537" t="str">
            <v>Balance Sheet</v>
          </cell>
          <cell r="J537" t="str">
            <v>XAF</v>
          </cell>
          <cell r="K537" t="str">
            <v>Dépréciation des stocks et encours</v>
          </cell>
        </row>
        <row r="538">
          <cell r="A538" t="str">
            <v>A537</v>
          </cell>
          <cell r="B538" t="str">
            <v>"393000 - Dépréciations des stocks d’autres approvisionnements - OHADA"</v>
          </cell>
          <cell r="C538" t="str">
            <v>Dépréciations des stocks d’autres approvisionnements</v>
          </cell>
          <cell r="D538" t="str">
            <v>OHADA</v>
          </cell>
          <cell r="E538" t="str">
            <v>390000 - Dépréciations des stocks et encours de production - OHADA</v>
          </cell>
          <cell r="F538">
            <v>393000</v>
          </cell>
          <cell r="G538" t="str">
            <v>0</v>
          </cell>
          <cell r="H538" t="str">
            <v>Asset</v>
          </cell>
          <cell r="I538" t="str">
            <v>Balance Sheet</v>
          </cell>
          <cell r="J538" t="str">
            <v>XAF</v>
          </cell>
          <cell r="K538" t="str">
            <v>Dépréciation des stocks et encours</v>
          </cell>
        </row>
        <row r="539">
          <cell r="A539" t="str">
            <v>A538</v>
          </cell>
          <cell r="B539" t="str">
            <v>"394000 - Dépréciations des productions en cours - OHADA"</v>
          </cell>
          <cell r="C539" t="str">
            <v>Dépréciations des productions en cours</v>
          </cell>
          <cell r="D539" t="str">
            <v>OHADA</v>
          </cell>
          <cell r="E539" t="str">
            <v>390000 - Dépréciations des stocks et encours de production - OHADA</v>
          </cell>
          <cell r="F539">
            <v>394000</v>
          </cell>
          <cell r="G539" t="str">
            <v>0</v>
          </cell>
          <cell r="H539" t="str">
            <v>Asset</v>
          </cell>
          <cell r="I539" t="str">
            <v>Balance Sheet</v>
          </cell>
          <cell r="J539" t="str">
            <v>XAF</v>
          </cell>
          <cell r="K539" t="str">
            <v>Dépréciation des stocks et encours</v>
          </cell>
        </row>
        <row r="540">
          <cell r="A540" t="str">
            <v>A539</v>
          </cell>
          <cell r="B540" t="str">
            <v>"395000 - Dépréciations des services en cours - OHADA"</v>
          </cell>
          <cell r="C540" t="str">
            <v>Dépréciations des services en cours</v>
          </cell>
          <cell r="D540" t="str">
            <v>OHADA</v>
          </cell>
          <cell r="E540" t="str">
            <v>390000 - Dépréciations des stocks et encours de production - OHADA</v>
          </cell>
          <cell r="F540">
            <v>395000</v>
          </cell>
          <cell r="G540" t="str">
            <v>0</v>
          </cell>
          <cell r="H540" t="str">
            <v>Asset</v>
          </cell>
          <cell r="I540" t="str">
            <v>Balance Sheet</v>
          </cell>
          <cell r="J540" t="str">
            <v>XAF</v>
          </cell>
          <cell r="K540" t="str">
            <v>Dépréciation des stocks et encours</v>
          </cell>
        </row>
        <row r="541">
          <cell r="A541" t="str">
            <v>A540</v>
          </cell>
          <cell r="B541" t="str">
            <v>"396000 - Dépréciations des stocks de produits finis - OHADA"</v>
          </cell>
          <cell r="C541" t="str">
            <v>Dépréciations des stocks de produits finis</v>
          </cell>
          <cell r="D541" t="str">
            <v>OHADA</v>
          </cell>
          <cell r="E541" t="str">
            <v>390000 - Dépréciations des stocks et encours de production - OHADA</v>
          </cell>
          <cell r="F541">
            <v>396000</v>
          </cell>
          <cell r="G541" t="str">
            <v>0</v>
          </cell>
          <cell r="H541" t="str">
            <v>Asset</v>
          </cell>
          <cell r="I541" t="str">
            <v>Balance Sheet</v>
          </cell>
          <cell r="J541" t="str">
            <v>XAF</v>
          </cell>
          <cell r="K541" t="str">
            <v>Dépréciation des stocks et encours</v>
          </cell>
        </row>
        <row r="542">
          <cell r="A542" t="str">
            <v>A541</v>
          </cell>
          <cell r="B542" t="str">
            <v>"397000 - Dépréciations des stocks de produits intermédiaires et résiduels - OHADA"</v>
          </cell>
          <cell r="C542" t="str">
            <v>Dépréciations des stocks de produits intermédiaires et résiduels</v>
          </cell>
          <cell r="D542" t="str">
            <v>OHADA</v>
          </cell>
          <cell r="E542" t="str">
            <v>390000 - Dépréciations des stocks et encours de production - OHADA</v>
          </cell>
          <cell r="F542">
            <v>397000</v>
          </cell>
          <cell r="G542" t="str">
            <v>0</v>
          </cell>
          <cell r="H542" t="str">
            <v>Asset</v>
          </cell>
          <cell r="I542" t="str">
            <v>Balance Sheet</v>
          </cell>
          <cell r="J542" t="str">
            <v>XAF</v>
          </cell>
          <cell r="K542" t="str">
            <v>Dépréciation des stocks et encours</v>
          </cell>
        </row>
        <row r="543">
          <cell r="A543" t="str">
            <v>A542</v>
          </cell>
          <cell r="B543" t="str">
            <v>"398000 - Dépréciations des stocks en cours de route, en consignation ou en dépôt - OHADA"</v>
          </cell>
          <cell r="C543" t="str">
            <v>Dépréciations des stocks en cours de route, en consignation ou en dépôt</v>
          </cell>
          <cell r="D543" t="str">
            <v>OHADA</v>
          </cell>
          <cell r="E543" t="str">
            <v>390000 - Dépréciations des stocks et encours de production - OHADA</v>
          </cell>
          <cell r="F543">
            <v>398000</v>
          </cell>
          <cell r="G543" t="str">
            <v>0</v>
          </cell>
          <cell r="H543" t="str">
            <v>Asset</v>
          </cell>
          <cell r="I543" t="str">
            <v>Balance Sheet</v>
          </cell>
          <cell r="J543" t="str">
            <v>XAF</v>
          </cell>
          <cell r="K543" t="str">
            <v>Dépréciation des stocks et encours</v>
          </cell>
        </row>
        <row r="544">
          <cell r="A544" t="str">
            <v>A543</v>
          </cell>
          <cell r="B544" t="str">
            <v>4 - Comptes de Tiers (ACTIF)  -  OHADA</v>
          </cell>
          <cell r="C544" t="str">
            <v>4-Comptes de Tiers (ACTIF)</v>
          </cell>
          <cell r="D544" t="str">
            <v>OHADA</v>
          </cell>
          <cell r="G544" t="str">
            <v>1</v>
          </cell>
          <cell r="H544" t="str">
            <v>Asset</v>
          </cell>
          <cell r="I544" t="str">
            <v>Balance Sheet</v>
          </cell>
          <cell r="J544" t="str">
            <v>XAF</v>
          </cell>
        </row>
        <row r="545">
          <cell r="A545" t="str">
            <v>A544</v>
          </cell>
          <cell r="B545" t="str">
            <v>"400000 -Fournisseurs et comptes rattachés (ACTIF) - OHADA"</v>
          </cell>
          <cell r="C545" t="str">
            <v>40-Fournisseurs et comptes rattachés (ACTIF)</v>
          </cell>
          <cell r="D545" t="str">
            <v>OHADA</v>
          </cell>
          <cell r="E545" t="str">
            <v>4-Comptes de Tiers (ACTIF) - OHADA</v>
          </cell>
          <cell r="F545">
            <v>400000</v>
          </cell>
          <cell r="G545" t="str">
            <v>1</v>
          </cell>
          <cell r="H545" t="str">
            <v>Asset</v>
          </cell>
          <cell r="I545" t="str">
            <v>Balance Sheet</v>
          </cell>
          <cell r="J545" t="str">
            <v>XAF</v>
          </cell>
        </row>
        <row r="546">
          <cell r="A546" t="str">
            <v>A545</v>
          </cell>
          <cell r="B546" t="str">
            <v>"409000 - Fournisseurs débiteurs - OHADA"</v>
          </cell>
          <cell r="C546" t="str">
            <v>Fournisseurs débiteurs</v>
          </cell>
          <cell r="D546" t="str">
            <v>OHADA</v>
          </cell>
          <cell r="E546" t="str">
            <v>400000 -Fournisseurs et comptes rattachés (ACTIF) - OHADA</v>
          </cell>
          <cell r="F546">
            <v>409000</v>
          </cell>
          <cell r="G546" t="str">
            <v>1</v>
          </cell>
          <cell r="H546" t="str">
            <v>Asset</v>
          </cell>
          <cell r="I546" t="str">
            <v>Balance Sheet</v>
          </cell>
          <cell r="J546" t="str">
            <v>XAF</v>
          </cell>
          <cell r="K546" t="str">
            <v>Fournisseurs, avances versées</v>
          </cell>
        </row>
        <row r="547">
          <cell r="A547" t="str">
            <v>A546</v>
          </cell>
          <cell r="B547" t="str">
            <v>"409100 - Fournisseurs Avances et acomptes versés - OHADA"</v>
          </cell>
          <cell r="C547" t="str">
            <v>Fournisseurs Avances et acomptes versés</v>
          </cell>
          <cell r="D547" t="str">
            <v>OHADA</v>
          </cell>
          <cell r="E547" t="str">
            <v>409000 - Fournisseurs débiteurs - OHADA</v>
          </cell>
          <cell r="F547">
            <v>409100</v>
          </cell>
          <cell r="G547" t="str">
            <v>0</v>
          </cell>
          <cell r="H547" t="str">
            <v>Asset</v>
          </cell>
          <cell r="I547" t="str">
            <v>Balance Sheet</v>
          </cell>
          <cell r="J547" t="str">
            <v>XAF</v>
          </cell>
          <cell r="K547" t="str">
            <v>Fournisseurs, avances versées</v>
          </cell>
        </row>
        <row r="548">
          <cell r="A548" t="str">
            <v>A547</v>
          </cell>
          <cell r="B548" t="str">
            <v>"409200 - Fournisseurs Groupe avances et acomptes versés - OHADA"</v>
          </cell>
          <cell r="C548" t="str">
            <v>Fournisseurs Groupe avances et acomptes versés</v>
          </cell>
          <cell r="D548" t="str">
            <v>OHADA</v>
          </cell>
          <cell r="E548" t="str">
            <v>409000 - Fournisseurs débiteurs - OHADA</v>
          </cell>
          <cell r="F548">
            <v>409200</v>
          </cell>
          <cell r="G548" t="str">
            <v>0</v>
          </cell>
          <cell r="H548" t="str">
            <v>Asset</v>
          </cell>
          <cell r="I548" t="str">
            <v>Balance Sheet</v>
          </cell>
          <cell r="J548" t="str">
            <v>XAF</v>
          </cell>
          <cell r="K548" t="str">
            <v>Fournisseurs, avances versées</v>
          </cell>
        </row>
        <row r="549">
          <cell r="A549" t="str">
            <v>A548</v>
          </cell>
          <cell r="B549" t="str">
            <v>"409300 - Fournisseurs Sous - traitants avances et acomptes versés - OHADA"</v>
          </cell>
          <cell r="C549" t="str">
            <v>Fournisseurs Sous-traitants avances et acomptes versés</v>
          </cell>
          <cell r="D549" t="str">
            <v>OHADA</v>
          </cell>
          <cell r="E549" t="str">
            <v>409000 - Fournisseurs débiteurs - OHADA</v>
          </cell>
          <cell r="F549">
            <v>409300</v>
          </cell>
          <cell r="G549" t="str">
            <v>0</v>
          </cell>
          <cell r="H549" t="str">
            <v>Asset</v>
          </cell>
          <cell r="I549" t="str">
            <v>Balance Sheet</v>
          </cell>
          <cell r="J549" t="str">
            <v>XAF</v>
          </cell>
          <cell r="K549" t="str">
            <v>Fournisseurs, avances versées</v>
          </cell>
        </row>
        <row r="550">
          <cell r="A550" t="str">
            <v>A549</v>
          </cell>
          <cell r="B550" t="str">
            <v>"409400 - Fournisseurs Créances pour emballages et matériels à rendre - OHADA"</v>
          </cell>
          <cell r="C550" t="str">
            <v>Fournisseurs Créances pour emballages et matériels à rendre</v>
          </cell>
          <cell r="D550" t="str">
            <v>OHADA</v>
          </cell>
          <cell r="E550" t="str">
            <v>409000 - Fournisseurs débiteurs - OHADA</v>
          </cell>
          <cell r="F550">
            <v>409400</v>
          </cell>
          <cell r="G550" t="str">
            <v>0</v>
          </cell>
          <cell r="H550" t="str">
            <v>Asset</v>
          </cell>
          <cell r="I550" t="str">
            <v>Balance Sheet</v>
          </cell>
          <cell r="J550" t="str">
            <v>XAF</v>
          </cell>
          <cell r="K550" t="str">
            <v>Fournisseurs, avances versées</v>
          </cell>
        </row>
        <row r="551">
          <cell r="A551" t="str">
            <v>A550</v>
          </cell>
          <cell r="B551" t="str">
            <v>"409800 - Fournisseurs Rabais, remises, ristournes et autres avoirs à obtenir - OHADA"</v>
          </cell>
          <cell r="C551" t="str">
            <v>Fournisseurs Rabais, remises, ristournes et autres avoirs à obtenir</v>
          </cell>
          <cell r="D551" t="str">
            <v>OHADA</v>
          </cell>
          <cell r="E551" t="str">
            <v>409000 - Fournisseurs débiteurs - OHADA</v>
          </cell>
          <cell r="F551">
            <v>409800</v>
          </cell>
          <cell r="G551" t="str">
            <v>0</v>
          </cell>
          <cell r="H551" t="str">
            <v>Asset</v>
          </cell>
          <cell r="I551" t="str">
            <v>Balance Sheet</v>
          </cell>
          <cell r="J551" t="str">
            <v>XAF</v>
          </cell>
          <cell r="K551" t="str">
            <v>Fournisseurs, avances versées</v>
          </cell>
        </row>
        <row r="552">
          <cell r="A552" t="str">
            <v>A551</v>
          </cell>
          <cell r="B552" t="str">
            <v>"410000 -Clients et comptes rattachés (ACTIF) - OHADA"</v>
          </cell>
          <cell r="C552" t="str">
            <v>41-Clients et comptes rattachés (ACTIF)</v>
          </cell>
          <cell r="D552" t="str">
            <v>OHADA</v>
          </cell>
          <cell r="E552" t="str">
            <v>4-Comptes de Tiers (ACTIF) - OHADA</v>
          </cell>
          <cell r="F552">
            <v>410000</v>
          </cell>
          <cell r="G552" t="str">
            <v>1</v>
          </cell>
          <cell r="H552" t="str">
            <v>Asset</v>
          </cell>
          <cell r="I552" t="str">
            <v>Balance Sheet</v>
          </cell>
          <cell r="J552" t="str">
            <v>XAF</v>
          </cell>
        </row>
        <row r="553">
          <cell r="A553" t="str">
            <v>A552</v>
          </cell>
          <cell r="B553" t="str">
            <v>"411000 - Clients - OHADA"</v>
          </cell>
          <cell r="C553" t="str">
            <v>Clients</v>
          </cell>
          <cell r="D553" t="str">
            <v>OHADA</v>
          </cell>
          <cell r="E553" t="str">
            <v>410000 -Clients et comptes rattachés (ACTIF) - OHADA</v>
          </cell>
          <cell r="F553">
            <v>411000</v>
          </cell>
          <cell r="G553" t="str">
            <v>1</v>
          </cell>
          <cell r="H553" t="str">
            <v>Asset</v>
          </cell>
          <cell r="I553" t="str">
            <v>Balance Sheet</v>
          </cell>
          <cell r="J553" t="str">
            <v>XAF</v>
          </cell>
          <cell r="K553" t="str">
            <v>Clients</v>
          </cell>
        </row>
        <row r="554">
          <cell r="A554" t="str">
            <v>A553</v>
          </cell>
          <cell r="B554" t="str">
            <v>"411100 - Clients - OHADA"</v>
          </cell>
          <cell r="C554" t="str">
            <v>Clients</v>
          </cell>
          <cell r="D554" t="str">
            <v>OHADA</v>
          </cell>
          <cell r="E554" t="str">
            <v>411000 - Clients - OHADA</v>
          </cell>
          <cell r="F554">
            <v>411100</v>
          </cell>
          <cell r="G554" t="str">
            <v>0</v>
          </cell>
          <cell r="H554" t="str">
            <v>Asset</v>
          </cell>
          <cell r="I554" t="str">
            <v>Balance Sheet</v>
          </cell>
          <cell r="J554" t="str">
            <v>XAF</v>
          </cell>
          <cell r="K554" t="str">
            <v>Clients</v>
          </cell>
        </row>
        <row r="555">
          <cell r="A555" t="str">
            <v>A554</v>
          </cell>
          <cell r="B555" t="str">
            <v>"411200 - Clients groupe - OHADA"</v>
          </cell>
          <cell r="C555" t="str">
            <v>Clients groupe</v>
          </cell>
          <cell r="D555" t="str">
            <v>OHADA</v>
          </cell>
          <cell r="E555" t="str">
            <v>411000 - Clients - OHADA</v>
          </cell>
          <cell r="F555">
            <v>411200</v>
          </cell>
          <cell r="G555" t="str">
            <v>0</v>
          </cell>
          <cell r="H555" t="str">
            <v>Asset</v>
          </cell>
          <cell r="I555" t="str">
            <v>Balance Sheet</v>
          </cell>
          <cell r="J555" t="str">
            <v>XAF</v>
          </cell>
          <cell r="K555" t="str">
            <v>Clients</v>
          </cell>
        </row>
        <row r="556">
          <cell r="A556" t="str">
            <v>A555</v>
          </cell>
          <cell r="B556" t="str">
            <v>"411400 - Clients, État et Collectivités publiques - OHADA"</v>
          </cell>
          <cell r="C556" t="str">
            <v>Clients, État et Collectivités publiques</v>
          </cell>
          <cell r="D556" t="str">
            <v>OHADA</v>
          </cell>
          <cell r="E556" t="str">
            <v>411000 - Clients - OHADA</v>
          </cell>
          <cell r="F556">
            <v>411400</v>
          </cell>
          <cell r="G556" t="str">
            <v>0</v>
          </cell>
          <cell r="H556" t="str">
            <v>Asset</v>
          </cell>
          <cell r="I556" t="str">
            <v>Balance Sheet</v>
          </cell>
          <cell r="J556" t="str">
            <v>XAF</v>
          </cell>
          <cell r="K556" t="str">
            <v>Clients</v>
          </cell>
        </row>
        <row r="557">
          <cell r="A557" t="str">
            <v>A556</v>
          </cell>
          <cell r="B557" t="str">
            <v>"411500 - Clients, organismes internationaux - OHADA"</v>
          </cell>
          <cell r="C557" t="str">
            <v>Clients, organismes internationaux</v>
          </cell>
          <cell r="D557" t="str">
            <v>OHADA</v>
          </cell>
          <cell r="E557" t="str">
            <v>411000 - Clients - OHADA</v>
          </cell>
          <cell r="F557">
            <v>411500</v>
          </cell>
          <cell r="G557" t="str">
            <v>0</v>
          </cell>
          <cell r="H557" t="str">
            <v>Asset</v>
          </cell>
          <cell r="I557" t="str">
            <v>Balance Sheet</v>
          </cell>
          <cell r="J557" t="str">
            <v>XAF</v>
          </cell>
          <cell r="K557" t="str">
            <v>Clients</v>
          </cell>
        </row>
        <row r="558">
          <cell r="A558" t="str">
            <v>A557</v>
          </cell>
          <cell r="B558" t="str">
            <v>"411600 - Clients, réserve de propriété - OHADA"</v>
          </cell>
          <cell r="C558" t="str">
            <v>Clients, réserve de propriété</v>
          </cell>
          <cell r="D558" t="str">
            <v>OHADA</v>
          </cell>
          <cell r="E558" t="str">
            <v>411000 - Clients - OHADA</v>
          </cell>
          <cell r="F558">
            <v>411600</v>
          </cell>
          <cell r="G558" t="str">
            <v>0</v>
          </cell>
          <cell r="H558" t="str">
            <v>Asset</v>
          </cell>
          <cell r="I558" t="str">
            <v>Balance Sheet</v>
          </cell>
          <cell r="J558" t="str">
            <v>XAF</v>
          </cell>
          <cell r="K558" t="str">
            <v>Clients</v>
          </cell>
        </row>
        <row r="559">
          <cell r="A559" t="str">
            <v>A558</v>
          </cell>
          <cell r="B559" t="str">
            <v>"411700 - Client, retenues de garantie - OHADA"</v>
          </cell>
          <cell r="C559" t="str">
            <v>Client, retenues de garantie</v>
          </cell>
          <cell r="D559" t="str">
            <v>OHADA</v>
          </cell>
          <cell r="E559" t="str">
            <v>411000 - Clients - OHADA</v>
          </cell>
          <cell r="F559">
            <v>411700</v>
          </cell>
          <cell r="G559" t="str">
            <v>0</v>
          </cell>
          <cell r="H559" t="str">
            <v>Asset</v>
          </cell>
          <cell r="I559" t="str">
            <v>Balance Sheet</v>
          </cell>
          <cell r="J559" t="str">
            <v>XAF</v>
          </cell>
          <cell r="K559" t="str">
            <v>Clients</v>
          </cell>
        </row>
        <row r="560">
          <cell r="A560" t="str">
            <v>A559</v>
          </cell>
          <cell r="B560" t="str">
            <v>"411800 - Clients, dégrèvement de taxes sur la valeur ajoutée (TVA) - OHADA"</v>
          </cell>
          <cell r="C560" t="str">
            <v>Clients, dégrèvement de taxes sur la valeur ajoutée (TVA)</v>
          </cell>
          <cell r="D560" t="str">
            <v>OHADA</v>
          </cell>
          <cell r="E560" t="str">
            <v>411000 - Clients - OHADA</v>
          </cell>
          <cell r="F560">
            <v>411800</v>
          </cell>
          <cell r="G560" t="str">
            <v>0</v>
          </cell>
          <cell r="H560" t="str">
            <v>Asset</v>
          </cell>
          <cell r="I560" t="str">
            <v>Balance Sheet</v>
          </cell>
          <cell r="J560" t="str">
            <v>XAF</v>
          </cell>
          <cell r="K560" t="str">
            <v>Clients</v>
          </cell>
        </row>
        <row r="561">
          <cell r="A561" t="str">
            <v>A560</v>
          </cell>
          <cell r="B561" t="str">
            <v>"412000 - Clients, effets à recevoir en portefeuille - OHADA"</v>
          </cell>
          <cell r="C561" t="str">
            <v>Clients, effets à recevoir en portefeuille</v>
          </cell>
          <cell r="D561" t="str">
            <v>OHADA</v>
          </cell>
          <cell r="E561" t="str">
            <v>410000 -Clients et comptes rattachés (ACTIF) - OHADA</v>
          </cell>
          <cell r="F561">
            <v>412000</v>
          </cell>
          <cell r="G561" t="str">
            <v>1</v>
          </cell>
          <cell r="H561" t="str">
            <v>Asset</v>
          </cell>
          <cell r="I561" t="str">
            <v>Balance Sheet</v>
          </cell>
          <cell r="J561" t="str">
            <v>XAF</v>
          </cell>
          <cell r="K561" t="str">
            <v>Clients</v>
          </cell>
        </row>
        <row r="562">
          <cell r="A562" t="str">
            <v>A561</v>
          </cell>
          <cell r="B562" t="str">
            <v>"412100 - Clients, effets à recevoir - OHADA"</v>
          </cell>
          <cell r="C562" t="str">
            <v>Clients, effets à recevoir</v>
          </cell>
          <cell r="D562" t="str">
            <v>OHADA</v>
          </cell>
          <cell r="E562" t="str">
            <v>412000 - Clients, effets à recevoir en portefeuille - OHADA</v>
          </cell>
          <cell r="F562">
            <v>412100</v>
          </cell>
          <cell r="G562" t="str">
            <v>0</v>
          </cell>
          <cell r="H562" t="str">
            <v>Asset</v>
          </cell>
          <cell r="I562" t="str">
            <v>Balance Sheet</v>
          </cell>
          <cell r="J562" t="str">
            <v>XAF</v>
          </cell>
          <cell r="K562" t="str">
            <v>Clients</v>
          </cell>
        </row>
        <row r="563">
          <cell r="A563" t="str">
            <v>A562</v>
          </cell>
          <cell r="B563" t="str">
            <v>"412200 - Clients Groupe, effets à recevoir - OHADA"</v>
          </cell>
          <cell r="C563" t="str">
            <v>Clients Groupe, effets à recevoir</v>
          </cell>
          <cell r="D563" t="str">
            <v>OHADA</v>
          </cell>
          <cell r="E563" t="str">
            <v>412000 - Clients, effets à recevoir en portefeuille - OHADA</v>
          </cell>
          <cell r="F563">
            <v>412200</v>
          </cell>
          <cell r="G563" t="str">
            <v>0</v>
          </cell>
          <cell r="H563" t="str">
            <v>Asset</v>
          </cell>
          <cell r="I563" t="str">
            <v>Balance Sheet</v>
          </cell>
          <cell r="J563" t="str">
            <v>XAF</v>
          </cell>
          <cell r="K563" t="str">
            <v>Clients</v>
          </cell>
        </row>
        <row r="564">
          <cell r="A564" t="str">
            <v>A563</v>
          </cell>
          <cell r="B564" t="str">
            <v>"412400 - État et Collectivités publiques, effets à recevoir - OHADA"</v>
          </cell>
          <cell r="C564" t="str">
            <v>État et Collectivités publiques, effets à recevoir</v>
          </cell>
          <cell r="D564" t="str">
            <v>OHADA</v>
          </cell>
          <cell r="E564" t="str">
            <v>412000 - Clients, effets à recevoir en portefeuille - OHADA</v>
          </cell>
          <cell r="F564">
            <v>412400</v>
          </cell>
          <cell r="G564" t="str">
            <v>0</v>
          </cell>
          <cell r="H564" t="str">
            <v>Asset</v>
          </cell>
          <cell r="I564" t="str">
            <v>Balance Sheet</v>
          </cell>
          <cell r="J564" t="str">
            <v>XAF</v>
          </cell>
          <cell r="K564" t="str">
            <v>Clients</v>
          </cell>
        </row>
        <row r="565">
          <cell r="A565" t="str">
            <v>A564</v>
          </cell>
          <cell r="B565" t="str">
            <v>"412500 - Organismes Internationaux, effets à recevoir - OHADA"</v>
          </cell>
          <cell r="C565" t="str">
            <v>Organismes Internationaux, effets à recevoir</v>
          </cell>
          <cell r="D565" t="str">
            <v>OHADA</v>
          </cell>
          <cell r="E565" t="str">
            <v>412000 - Clients, effets à recevoir en portefeuille - OHADA</v>
          </cell>
          <cell r="F565">
            <v>412500</v>
          </cell>
          <cell r="G565" t="str">
            <v>0</v>
          </cell>
          <cell r="H565" t="str">
            <v>Asset</v>
          </cell>
          <cell r="I565" t="str">
            <v>Balance Sheet</v>
          </cell>
          <cell r="J565" t="str">
            <v>XAF</v>
          </cell>
          <cell r="K565" t="str">
            <v>Clients</v>
          </cell>
        </row>
        <row r="566">
          <cell r="A566" t="str">
            <v>A565</v>
          </cell>
          <cell r="B566" t="str">
            <v>"413000 - Clients, chèques, effets et autres valeurs impayées - OHADA"</v>
          </cell>
          <cell r="C566" t="str">
            <v>Clients, chèques, effets et autres valeurs impayées</v>
          </cell>
          <cell r="D566" t="str">
            <v>OHADA</v>
          </cell>
          <cell r="E566" t="str">
            <v>410000 -Clients et comptes rattachés (ACTIF) - OHADA</v>
          </cell>
          <cell r="F566">
            <v>413000</v>
          </cell>
          <cell r="G566" t="str">
            <v>1</v>
          </cell>
          <cell r="H566" t="str">
            <v>Asset</v>
          </cell>
          <cell r="I566" t="str">
            <v>Balance Sheet</v>
          </cell>
          <cell r="J566" t="str">
            <v>XAF</v>
          </cell>
          <cell r="K566" t="str">
            <v>Clients</v>
          </cell>
        </row>
        <row r="567">
          <cell r="A567" t="str">
            <v>A566</v>
          </cell>
          <cell r="B567" t="str">
            <v>"413100 - Clients, chèques impayés - OHADA"</v>
          </cell>
          <cell r="C567" t="str">
            <v>Clients, chèques impayés</v>
          </cell>
          <cell r="D567" t="str">
            <v>OHADA</v>
          </cell>
          <cell r="E567" t="str">
            <v>413000 - Clients, chèques, effets et autres valeurs impayées - OHADA</v>
          </cell>
          <cell r="F567">
            <v>413100</v>
          </cell>
          <cell r="G567" t="str">
            <v>0</v>
          </cell>
          <cell r="H567" t="str">
            <v>Asset</v>
          </cell>
          <cell r="I567" t="str">
            <v>Balance Sheet</v>
          </cell>
          <cell r="J567" t="str">
            <v>XAF</v>
          </cell>
          <cell r="K567" t="str">
            <v>Clients</v>
          </cell>
        </row>
        <row r="568">
          <cell r="A568" t="str">
            <v>A567</v>
          </cell>
          <cell r="B568" t="str">
            <v>"413200 - Clients, effets impayés - OHADA"</v>
          </cell>
          <cell r="C568" t="str">
            <v>Clients, effets impayés</v>
          </cell>
          <cell r="D568" t="str">
            <v>OHADA</v>
          </cell>
          <cell r="E568" t="str">
            <v>413000 - Clients, chèques, effets et autres valeurs impayées - OHADA</v>
          </cell>
          <cell r="F568">
            <v>413200</v>
          </cell>
          <cell r="G568" t="str">
            <v>0</v>
          </cell>
          <cell r="H568" t="str">
            <v>Asset</v>
          </cell>
          <cell r="I568" t="str">
            <v>Balance Sheet</v>
          </cell>
          <cell r="J568" t="str">
            <v>XAF</v>
          </cell>
          <cell r="K568" t="str">
            <v>Clients</v>
          </cell>
        </row>
        <row r="569">
          <cell r="A569" t="str">
            <v>A568</v>
          </cell>
          <cell r="B569" t="str">
            <v>"413300 - Clients, cartes de crédit impayées - OHADA"</v>
          </cell>
          <cell r="C569" t="str">
            <v>Clients, cartes de crédit impayées</v>
          </cell>
          <cell r="D569" t="str">
            <v>OHADA</v>
          </cell>
          <cell r="E569" t="str">
            <v>413000 - Clients, chèques, effets et autres valeurs impayées - OHADA</v>
          </cell>
          <cell r="F569">
            <v>413300</v>
          </cell>
          <cell r="G569" t="str">
            <v>0</v>
          </cell>
          <cell r="H569" t="str">
            <v>Asset</v>
          </cell>
          <cell r="I569" t="str">
            <v>Balance Sheet</v>
          </cell>
          <cell r="J569" t="str">
            <v>XAF</v>
          </cell>
          <cell r="K569" t="str">
            <v>Clients</v>
          </cell>
        </row>
        <row r="570">
          <cell r="A570" t="str">
            <v>A569</v>
          </cell>
          <cell r="B570" t="str">
            <v>"413800 - Clients, autres valeurs impayées - OHADA"</v>
          </cell>
          <cell r="C570" t="str">
            <v>Clients, autres valeurs impayées</v>
          </cell>
          <cell r="D570" t="str">
            <v>OHADA</v>
          </cell>
          <cell r="E570" t="str">
            <v>413000 - Clients, chèques, effets et autres valeurs impayées - OHADA</v>
          </cell>
          <cell r="F570">
            <v>413800</v>
          </cell>
          <cell r="G570" t="str">
            <v>0</v>
          </cell>
          <cell r="H570" t="str">
            <v>Asset</v>
          </cell>
          <cell r="I570" t="str">
            <v>Balance Sheet</v>
          </cell>
          <cell r="J570" t="str">
            <v>XAF</v>
          </cell>
          <cell r="K570" t="str">
            <v>Clients</v>
          </cell>
        </row>
        <row r="571">
          <cell r="A571" t="str">
            <v>A570</v>
          </cell>
          <cell r="B571" t="str">
            <v>"414000 - Créances sur cessions courantes d’immobilisations - OHADA"</v>
          </cell>
          <cell r="C571" t="str">
            <v>Créances sur cessions courantes d’immobilisations</v>
          </cell>
          <cell r="D571" t="str">
            <v>OHADA</v>
          </cell>
          <cell r="E571" t="str">
            <v>410000 -Clients et comptes rattachés (ACTIF) - OHADA</v>
          </cell>
          <cell r="F571">
            <v>414000</v>
          </cell>
          <cell r="G571" t="str">
            <v>1</v>
          </cell>
          <cell r="H571" t="str">
            <v>Asset</v>
          </cell>
          <cell r="I571" t="str">
            <v>Balance Sheet</v>
          </cell>
          <cell r="J571" t="str">
            <v>XAF</v>
          </cell>
          <cell r="K571" t="str">
            <v>Clients</v>
          </cell>
        </row>
        <row r="572">
          <cell r="A572" t="str">
            <v>A571</v>
          </cell>
          <cell r="B572" t="str">
            <v>"414100 - Créances en compte, immobilisations incorporelles - OHADA"</v>
          </cell>
          <cell r="C572" t="str">
            <v>Créances en compte, immobilisations incorporelles</v>
          </cell>
          <cell r="D572" t="str">
            <v>OHADA</v>
          </cell>
          <cell r="E572" t="str">
            <v>414000 - Créances sur cessions courantes d’immobilisations - OHADA</v>
          </cell>
          <cell r="F572">
            <v>414100</v>
          </cell>
          <cell r="G572" t="str">
            <v>0</v>
          </cell>
          <cell r="H572" t="str">
            <v>Asset</v>
          </cell>
          <cell r="I572" t="str">
            <v>Balance Sheet</v>
          </cell>
          <cell r="J572" t="str">
            <v>XAF</v>
          </cell>
          <cell r="K572" t="str">
            <v>Clients</v>
          </cell>
        </row>
        <row r="573">
          <cell r="A573" t="str">
            <v>A572</v>
          </cell>
          <cell r="B573" t="str">
            <v>"414200 - Créances en compte, immobilisations corporelles - OHADA"</v>
          </cell>
          <cell r="C573" t="str">
            <v>Créances en compte, immobilisations corporelles</v>
          </cell>
          <cell r="D573" t="str">
            <v>OHADA</v>
          </cell>
          <cell r="E573" t="str">
            <v>414000 - Créances sur cessions courantes d’immobilisations - OHADA</v>
          </cell>
          <cell r="F573">
            <v>414200</v>
          </cell>
          <cell r="G573" t="str">
            <v>0</v>
          </cell>
          <cell r="H573" t="str">
            <v>Asset</v>
          </cell>
          <cell r="I573" t="str">
            <v>Balance Sheet</v>
          </cell>
          <cell r="J573" t="str">
            <v>XAF</v>
          </cell>
          <cell r="K573" t="str">
            <v>Clients</v>
          </cell>
        </row>
        <row r="574">
          <cell r="A574" t="str">
            <v>A573</v>
          </cell>
          <cell r="B574" t="str">
            <v>"414600 - Effets à recevoir, immobilisations incorporelles - OHADA"</v>
          </cell>
          <cell r="C574" t="str">
            <v>Effets à recevoir, immobilisations incorporelles</v>
          </cell>
          <cell r="D574" t="str">
            <v>OHADA</v>
          </cell>
          <cell r="E574" t="str">
            <v>414000 - Créances sur cessions courantes d’immobilisations - OHADA</v>
          </cell>
          <cell r="F574">
            <v>414600</v>
          </cell>
          <cell r="G574" t="str">
            <v>0</v>
          </cell>
          <cell r="H574" t="str">
            <v>Asset</v>
          </cell>
          <cell r="I574" t="str">
            <v>Balance Sheet</v>
          </cell>
          <cell r="J574" t="str">
            <v>XAF</v>
          </cell>
          <cell r="K574" t="str">
            <v>Clients</v>
          </cell>
        </row>
        <row r="575">
          <cell r="A575" t="str">
            <v>A574</v>
          </cell>
          <cell r="B575" t="str">
            <v>"414700 - Effets à recevoir, immobilisations corporelles - OHADA"</v>
          </cell>
          <cell r="C575" t="str">
            <v>Effets à recevoir, immobilisations corporelles</v>
          </cell>
          <cell r="D575" t="str">
            <v>OHADA</v>
          </cell>
          <cell r="E575" t="str">
            <v>414000 - Créances sur cessions courantes d’immobilisations - OHADA</v>
          </cell>
          <cell r="F575">
            <v>414700</v>
          </cell>
          <cell r="G575" t="str">
            <v>0</v>
          </cell>
          <cell r="H575" t="str">
            <v>Asset</v>
          </cell>
          <cell r="I575" t="str">
            <v>Balance Sheet</v>
          </cell>
          <cell r="J575" t="str">
            <v>XAF</v>
          </cell>
          <cell r="K575" t="str">
            <v>Clients</v>
          </cell>
        </row>
        <row r="576">
          <cell r="A576" t="str">
            <v>A575</v>
          </cell>
          <cell r="B576" t="str">
            <v>"415000 - Clients, effets escomptés non échus - OHADA"</v>
          </cell>
          <cell r="C576" t="str">
            <v>Clients, effets escomptés non échus</v>
          </cell>
          <cell r="D576" t="str">
            <v>OHADA</v>
          </cell>
          <cell r="E576" t="str">
            <v>410000 -Clients et comptes rattachés (ACTIF) - OHADA</v>
          </cell>
          <cell r="F576">
            <v>415000</v>
          </cell>
          <cell r="G576" t="str">
            <v>0</v>
          </cell>
          <cell r="H576" t="str">
            <v>Asset</v>
          </cell>
          <cell r="I576" t="str">
            <v>Balance Sheet</v>
          </cell>
          <cell r="J576" t="str">
            <v>XAF</v>
          </cell>
          <cell r="K576" t="str">
            <v>Clients</v>
          </cell>
        </row>
        <row r="577">
          <cell r="A577" t="str">
            <v>A576</v>
          </cell>
          <cell r="B577" t="str">
            <v>"416000 - Créances clients litigieuses ou douteuses - OHADA"</v>
          </cell>
          <cell r="C577" t="str">
            <v>Créances clients litigieuses ou douteuses</v>
          </cell>
          <cell r="D577" t="str">
            <v>OHADA</v>
          </cell>
          <cell r="E577" t="str">
            <v>410000 -Clients et comptes rattachés (ACTIF) - OHADA</v>
          </cell>
          <cell r="F577">
            <v>416000</v>
          </cell>
          <cell r="G577" t="str">
            <v>1</v>
          </cell>
          <cell r="H577" t="str">
            <v>Asset</v>
          </cell>
          <cell r="I577" t="str">
            <v>Balance Sheet</v>
          </cell>
          <cell r="J577" t="str">
            <v>XAF</v>
          </cell>
          <cell r="K577" t="str">
            <v>Clients</v>
          </cell>
        </row>
        <row r="578">
          <cell r="A578" t="str">
            <v>A577</v>
          </cell>
          <cell r="B578" t="str">
            <v>"416100 - Créances litigieuses - OHADA"</v>
          </cell>
          <cell r="C578" t="str">
            <v>Créances litigieuses</v>
          </cell>
          <cell r="D578" t="str">
            <v>OHADA</v>
          </cell>
          <cell r="E578" t="str">
            <v>416000 - Créances clients litigieuses ou douteuses - OHADA</v>
          </cell>
          <cell r="F578">
            <v>416100</v>
          </cell>
          <cell r="G578" t="str">
            <v>0</v>
          </cell>
          <cell r="H578" t="str">
            <v>Asset</v>
          </cell>
          <cell r="I578" t="str">
            <v>Balance Sheet</v>
          </cell>
          <cell r="J578" t="str">
            <v>XAF</v>
          </cell>
          <cell r="K578" t="str">
            <v>Clients</v>
          </cell>
        </row>
        <row r="579">
          <cell r="A579" t="str">
            <v>A578</v>
          </cell>
          <cell r="B579" t="str">
            <v>"416200 - Créances douteuses - OHADA"</v>
          </cell>
          <cell r="C579" t="str">
            <v>Créances douteuses</v>
          </cell>
          <cell r="D579" t="str">
            <v>OHADA</v>
          </cell>
          <cell r="E579" t="str">
            <v>416000 - Créances clients litigieuses ou douteuses - OHADA</v>
          </cell>
          <cell r="F579">
            <v>416200</v>
          </cell>
          <cell r="G579" t="str">
            <v>0</v>
          </cell>
          <cell r="H579" t="str">
            <v>Asset</v>
          </cell>
          <cell r="I579" t="str">
            <v>Balance Sheet</v>
          </cell>
          <cell r="J579" t="str">
            <v>XAF</v>
          </cell>
          <cell r="K579" t="str">
            <v>Clients</v>
          </cell>
        </row>
        <row r="580">
          <cell r="A580" t="str">
            <v>A579</v>
          </cell>
          <cell r="B580" t="str">
            <v>"418000 - Clients, produits à recevoir - OHADA"</v>
          </cell>
          <cell r="C580" t="str">
            <v>Clients, produits à recevoir</v>
          </cell>
          <cell r="D580" t="str">
            <v>OHADA</v>
          </cell>
          <cell r="E580" t="str">
            <v>410000 -Clients et comptes rattachés (ACTIF) - OHADA</v>
          </cell>
          <cell r="F580">
            <v>418000</v>
          </cell>
          <cell r="G580" t="str">
            <v>1</v>
          </cell>
          <cell r="H580" t="str">
            <v>Asset</v>
          </cell>
          <cell r="I580" t="str">
            <v>Balance Sheet</v>
          </cell>
          <cell r="J580" t="str">
            <v>XAF</v>
          </cell>
          <cell r="K580" t="str">
            <v>Clients</v>
          </cell>
        </row>
        <row r="581">
          <cell r="A581" t="str">
            <v>A580</v>
          </cell>
          <cell r="B581" t="str">
            <v>"418100 - Clients, factures à établir - OHADA"</v>
          </cell>
          <cell r="C581" t="str">
            <v>Clients, factures à établir</v>
          </cell>
          <cell r="D581" t="str">
            <v>OHADA</v>
          </cell>
          <cell r="E581" t="str">
            <v>418000 - Clients, produits à recevoir - OHADA</v>
          </cell>
          <cell r="F581">
            <v>418100</v>
          </cell>
          <cell r="G581" t="str">
            <v>0</v>
          </cell>
          <cell r="H581" t="str">
            <v>Asset</v>
          </cell>
          <cell r="I581" t="str">
            <v>Balance Sheet</v>
          </cell>
          <cell r="J581" t="str">
            <v>XAF</v>
          </cell>
          <cell r="K581" t="str">
            <v>Clients</v>
          </cell>
        </row>
        <row r="582">
          <cell r="A582" t="str">
            <v>A581</v>
          </cell>
          <cell r="B582" t="str">
            <v>"418600 - Clients, intérêts courus - OHADA"</v>
          </cell>
          <cell r="C582" t="str">
            <v>Clients, intérêts courus</v>
          </cell>
          <cell r="D582" t="str">
            <v>OHADA</v>
          </cell>
          <cell r="E582" t="str">
            <v>418000 - Clients, produits à recevoir - OHADA</v>
          </cell>
          <cell r="F582">
            <v>418600</v>
          </cell>
          <cell r="G582" t="str">
            <v>0</v>
          </cell>
          <cell r="H582" t="str">
            <v>Asset</v>
          </cell>
          <cell r="I582" t="str">
            <v>Balance Sheet</v>
          </cell>
          <cell r="J582" t="str">
            <v>XAF</v>
          </cell>
          <cell r="K582" t="str">
            <v>Clients</v>
          </cell>
        </row>
        <row r="583">
          <cell r="A583" t="str">
            <v>A582</v>
          </cell>
          <cell r="B583" t="str">
            <v>"420000 -Personnel (ACTIF) - OHADA"</v>
          </cell>
          <cell r="C583" t="str">
            <v>42-Personnel (ACTIF)</v>
          </cell>
          <cell r="D583" t="str">
            <v>OHADA</v>
          </cell>
          <cell r="E583" t="str">
            <v>4-Comptes de Tiers (ACTIF) - OHADA</v>
          </cell>
          <cell r="F583">
            <v>420000</v>
          </cell>
          <cell r="G583" t="str">
            <v>1</v>
          </cell>
          <cell r="H583" t="str">
            <v>Asset</v>
          </cell>
          <cell r="I583" t="str">
            <v>Balance Sheet</v>
          </cell>
          <cell r="J583" t="str">
            <v>XAF</v>
          </cell>
          <cell r="K583" t="str">
            <v>Autres créances</v>
          </cell>
        </row>
        <row r="584">
          <cell r="A584" t="str">
            <v>A583</v>
          </cell>
          <cell r="B584" t="str">
            <v>"421000 - Personnel, avances et acomptes - OHADA"</v>
          </cell>
          <cell r="C584" t="str">
            <v>Personnel, avances et acomptes</v>
          </cell>
          <cell r="D584" t="str">
            <v>OHADA</v>
          </cell>
          <cell r="E584" t="str">
            <v>420000 -Personnel (ACTIF) - OHADA</v>
          </cell>
          <cell r="F584">
            <v>421000</v>
          </cell>
          <cell r="G584" t="str">
            <v>1</v>
          </cell>
          <cell r="H584" t="str">
            <v>Asset</v>
          </cell>
          <cell r="I584" t="str">
            <v>Balance Sheet</v>
          </cell>
          <cell r="J584" t="str">
            <v>XAF</v>
          </cell>
          <cell r="K584" t="str">
            <v>Autres créances</v>
          </cell>
        </row>
        <row r="585">
          <cell r="A585" t="str">
            <v>A584</v>
          </cell>
          <cell r="B585" t="str">
            <v>"421100 - Personnel, avances - OHADA"</v>
          </cell>
          <cell r="C585" t="str">
            <v>Personnel, avances</v>
          </cell>
          <cell r="D585" t="str">
            <v>OHADA</v>
          </cell>
          <cell r="E585" t="str">
            <v>421000 - Personnel, avances et acomptes - OHADA</v>
          </cell>
          <cell r="F585">
            <v>421100</v>
          </cell>
          <cell r="G585" t="str">
            <v>0</v>
          </cell>
          <cell r="H585" t="str">
            <v>Asset</v>
          </cell>
          <cell r="I585" t="str">
            <v>Balance Sheet</v>
          </cell>
          <cell r="J585" t="str">
            <v>XAF</v>
          </cell>
          <cell r="K585" t="str">
            <v>Autres créances</v>
          </cell>
        </row>
        <row r="586">
          <cell r="A586" t="str">
            <v>A585</v>
          </cell>
          <cell r="B586" t="str">
            <v>"421200 - Personnel, acomptes - OHADA"</v>
          </cell>
          <cell r="C586" t="str">
            <v>Personnel, acomptes</v>
          </cell>
          <cell r="D586" t="str">
            <v>OHADA</v>
          </cell>
          <cell r="E586" t="str">
            <v>421000 - Personnel, avances et acomptes - OHADA</v>
          </cell>
          <cell r="F586">
            <v>421200</v>
          </cell>
          <cell r="G586" t="str">
            <v>0</v>
          </cell>
          <cell r="H586" t="str">
            <v>Asset</v>
          </cell>
          <cell r="I586" t="str">
            <v>Balance Sheet</v>
          </cell>
          <cell r="J586" t="str">
            <v>XAF</v>
          </cell>
          <cell r="K586" t="str">
            <v>Autres créances</v>
          </cell>
        </row>
        <row r="587">
          <cell r="A587" t="str">
            <v>A586</v>
          </cell>
          <cell r="B587" t="str">
            <v>"421300 - Frais avancés et fournitures au personnel - OHADA"</v>
          </cell>
          <cell r="C587" t="str">
            <v>Frais avancés et fournitures au personnel</v>
          </cell>
          <cell r="D587" t="str">
            <v>OHADA</v>
          </cell>
          <cell r="E587" t="str">
            <v>421000 - Personnel, avances et acomptes - OHADA</v>
          </cell>
          <cell r="F587">
            <v>421300</v>
          </cell>
          <cell r="G587" t="str">
            <v>0</v>
          </cell>
          <cell r="H587" t="str">
            <v>Asset</v>
          </cell>
          <cell r="I587" t="str">
            <v>Balance Sheet</v>
          </cell>
          <cell r="J587" t="str">
            <v>XAF</v>
          </cell>
          <cell r="K587" t="str">
            <v>Autres créances</v>
          </cell>
        </row>
        <row r="588">
          <cell r="A588" t="str">
            <v>A587</v>
          </cell>
          <cell r="B588" t="str">
            <v>"430000 -Organismes sociaux (ACTIF) - OHADA"</v>
          </cell>
          <cell r="C588" t="str">
            <v>43-Organismes sociaux (ACTIF)</v>
          </cell>
          <cell r="D588" t="str">
            <v>OHADA</v>
          </cell>
          <cell r="E588" t="str">
            <v>4-Comptes de Tiers (ACTIF) - OHADA</v>
          </cell>
          <cell r="F588">
            <v>430000</v>
          </cell>
          <cell r="G588" t="str">
            <v>1</v>
          </cell>
          <cell r="H588" t="str">
            <v>Asset</v>
          </cell>
          <cell r="I588" t="str">
            <v>Balance Sheet</v>
          </cell>
          <cell r="J588" t="str">
            <v>XAF</v>
          </cell>
          <cell r="K588" t="str">
            <v>Autres créances</v>
          </cell>
        </row>
        <row r="589">
          <cell r="A589" t="str">
            <v>A588</v>
          </cell>
          <cell r="B589" t="str">
            <v>"431000 -Sécurité sociale - OHADA"</v>
          </cell>
          <cell r="C589" t="str">
            <v>431-Sécurité sociale</v>
          </cell>
          <cell r="D589" t="str">
            <v>OHADA</v>
          </cell>
          <cell r="E589" t="str">
            <v>430000 -Organismes sociaux (ACTIF) - OHADA</v>
          </cell>
          <cell r="F589">
            <v>431000</v>
          </cell>
          <cell r="G589" t="str">
            <v>1</v>
          </cell>
          <cell r="H589" t="str">
            <v>Asset</v>
          </cell>
          <cell r="I589" t="str">
            <v>Balance Sheet</v>
          </cell>
          <cell r="J589" t="str">
            <v>XAF</v>
          </cell>
          <cell r="K589" t="str">
            <v>Autres créances</v>
          </cell>
        </row>
        <row r="590">
          <cell r="A590" t="str">
            <v>A589</v>
          </cell>
          <cell r="B590" t="str">
            <v>"431100 - Prestations familiales - OHADA"</v>
          </cell>
          <cell r="C590" t="str">
            <v>Prestations familiales</v>
          </cell>
          <cell r="D590" t="str">
            <v>OHADA</v>
          </cell>
          <cell r="E590" t="str">
            <v>431000 -Sécurité sociale - OHADA</v>
          </cell>
          <cell r="F590">
            <v>431100</v>
          </cell>
          <cell r="G590" t="str">
            <v>0</v>
          </cell>
          <cell r="H590" t="str">
            <v>Asset</v>
          </cell>
          <cell r="I590" t="str">
            <v>Balance Sheet</v>
          </cell>
          <cell r="J590" t="str">
            <v>XAF</v>
          </cell>
          <cell r="K590" t="str">
            <v>Autres créances</v>
          </cell>
        </row>
        <row r="591">
          <cell r="A591" t="str">
            <v>A590</v>
          </cell>
          <cell r="B591" t="str">
            <v>"431200 - Accidents de travail - OHADA"</v>
          </cell>
          <cell r="C591" t="str">
            <v>Accidents de travail</v>
          </cell>
          <cell r="D591" t="str">
            <v>OHADA</v>
          </cell>
          <cell r="E591" t="str">
            <v>431000 -Sécurité sociale - OHADA</v>
          </cell>
          <cell r="F591">
            <v>431200</v>
          </cell>
          <cell r="G591" t="str">
            <v>0</v>
          </cell>
          <cell r="H591" t="str">
            <v>Asset</v>
          </cell>
          <cell r="I591" t="str">
            <v>Balance Sheet</v>
          </cell>
          <cell r="J591" t="str">
            <v>XAF</v>
          </cell>
          <cell r="K591" t="str">
            <v>Autres créances</v>
          </cell>
        </row>
        <row r="592">
          <cell r="A592" t="str">
            <v>A591</v>
          </cell>
          <cell r="B592" t="str">
            <v>"431300 - Caisse de retraite obligatoire - OHADA"</v>
          </cell>
          <cell r="C592" t="str">
            <v>Caisse de retraite obligatoire</v>
          </cell>
          <cell r="D592" t="str">
            <v>OHADA</v>
          </cell>
          <cell r="E592" t="str">
            <v>431000 -Sécurité sociale - OHADA</v>
          </cell>
          <cell r="F592">
            <v>431300</v>
          </cell>
          <cell r="G592" t="str">
            <v>0</v>
          </cell>
          <cell r="H592" t="str">
            <v>Asset</v>
          </cell>
          <cell r="I592" t="str">
            <v>Balance Sheet</v>
          </cell>
          <cell r="J592" t="str">
            <v>XAF</v>
          </cell>
          <cell r="K592" t="str">
            <v>Autres créances</v>
          </cell>
        </row>
        <row r="593">
          <cell r="A593" t="str">
            <v>A592</v>
          </cell>
          <cell r="B593" t="str">
            <v>"431400 - Caisse de retraite facultative - OHADA"</v>
          </cell>
          <cell r="C593" t="str">
            <v>Caisse de retraite facultative</v>
          </cell>
          <cell r="D593" t="str">
            <v>OHADA</v>
          </cell>
          <cell r="E593" t="str">
            <v>431000 -Sécurité sociale - OHADA</v>
          </cell>
          <cell r="F593">
            <v>431400</v>
          </cell>
          <cell r="G593" t="str">
            <v>0</v>
          </cell>
          <cell r="H593" t="str">
            <v>Asset</v>
          </cell>
          <cell r="I593" t="str">
            <v>Balance Sheet</v>
          </cell>
          <cell r="J593" t="str">
            <v>XAF</v>
          </cell>
          <cell r="K593" t="str">
            <v>Autres créances</v>
          </cell>
        </row>
        <row r="594">
          <cell r="A594" t="str">
            <v>A593</v>
          </cell>
          <cell r="B594" t="str">
            <v>"431800 - Autres cotisations sociales - OHADA"</v>
          </cell>
          <cell r="C594" t="str">
            <v>Autres cotisations sociales</v>
          </cell>
          <cell r="D594" t="str">
            <v>OHADA</v>
          </cell>
          <cell r="E594" t="str">
            <v>431000 -Sécurité sociale - OHADA</v>
          </cell>
          <cell r="F594">
            <v>431800</v>
          </cell>
          <cell r="G594" t="str">
            <v>0</v>
          </cell>
          <cell r="H594" t="str">
            <v>Asset</v>
          </cell>
          <cell r="I594" t="str">
            <v>Balance Sheet</v>
          </cell>
          <cell r="J594" t="str">
            <v>XAF</v>
          </cell>
          <cell r="K594" t="str">
            <v>Autres créances</v>
          </cell>
        </row>
        <row r="595">
          <cell r="A595" t="str">
            <v>A594</v>
          </cell>
          <cell r="B595" t="str">
            <v>"432000 -Caisses de retraite complémentaire - OHADA"</v>
          </cell>
          <cell r="C595" t="str">
            <v>432-Caisses de retraite complémentaire</v>
          </cell>
          <cell r="D595" t="str">
            <v>OHADA</v>
          </cell>
          <cell r="E595" t="str">
            <v>430000 -Organismes sociaux (ACTIF) - OHADA</v>
          </cell>
          <cell r="F595">
            <v>432000</v>
          </cell>
          <cell r="G595" t="str">
            <v>0</v>
          </cell>
          <cell r="H595" t="str">
            <v>Asset</v>
          </cell>
          <cell r="I595" t="str">
            <v>Balance Sheet</v>
          </cell>
          <cell r="J595" t="str">
            <v>XAF</v>
          </cell>
          <cell r="K595" t="str">
            <v>Autres créances</v>
          </cell>
        </row>
        <row r="596">
          <cell r="A596" t="str">
            <v>A595</v>
          </cell>
          <cell r="B596" t="str">
            <v>"433000 -Autres organismes sociaux - OHADA"</v>
          </cell>
          <cell r="C596" t="str">
            <v>433-Autres organismes sociaux</v>
          </cell>
          <cell r="D596" t="str">
            <v>OHADA</v>
          </cell>
          <cell r="E596" t="str">
            <v>430000 -Organismes sociaux (ACTIF) - OHADA</v>
          </cell>
          <cell r="F596">
            <v>433000</v>
          </cell>
          <cell r="G596" t="str">
            <v>1</v>
          </cell>
          <cell r="H596" t="str">
            <v>Asset</v>
          </cell>
          <cell r="I596" t="str">
            <v>Balance Sheet</v>
          </cell>
          <cell r="J596" t="str">
            <v>XAF</v>
          </cell>
          <cell r="K596" t="str">
            <v>Autres créances</v>
          </cell>
        </row>
        <row r="597">
          <cell r="A597" t="str">
            <v>A596</v>
          </cell>
          <cell r="B597" t="str">
            <v>"433100 - Mutuelle - OHADA"</v>
          </cell>
          <cell r="C597" t="str">
            <v>Mutuelle</v>
          </cell>
          <cell r="D597" t="str">
            <v>OHADA</v>
          </cell>
          <cell r="E597" t="str">
            <v>433000 -Autres organismes sociaux - OHADA</v>
          </cell>
          <cell r="F597">
            <v>433100</v>
          </cell>
          <cell r="G597" t="str">
            <v>0</v>
          </cell>
          <cell r="H597" t="str">
            <v>Asset</v>
          </cell>
          <cell r="I597" t="str">
            <v>Balance Sheet</v>
          </cell>
          <cell r="J597" t="str">
            <v>XAF</v>
          </cell>
          <cell r="K597" t="str">
            <v>Autres créances</v>
          </cell>
        </row>
        <row r="598">
          <cell r="A598" t="str">
            <v>A597</v>
          </cell>
          <cell r="B598" t="str">
            <v>"433200 - Assurances retraite - OHADA"</v>
          </cell>
          <cell r="C598" t="str">
            <v>Assurances retraite</v>
          </cell>
          <cell r="D598" t="str">
            <v>OHADA</v>
          </cell>
          <cell r="E598" t="str">
            <v>433000 -Autres organismes sociaux - OHADA</v>
          </cell>
          <cell r="F598">
            <v>433200</v>
          </cell>
          <cell r="G598" t="str">
            <v>0</v>
          </cell>
          <cell r="H598" t="str">
            <v>Asset</v>
          </cell>
          <cell r="I598" t="str">
            <v>Balance Sheet</v>
          </cell>
          <cell r="J598" t="str">
            <v>XAF</v>
          </cell>
          <cell r="K598" t="str">
            <v>Autres créances</v>
          </cell>
        </row>
        <row r="599">
          <cell r="A599" t="str">
            <v>A598</v>
          </cell>
          <cell r="B599" t="str">
            <v>"433300 - Assurances et organismes de santé - OHADA"</v>
          </cell>
          <cell r="C599" t="str">
            <v>Assurances et organismes de santé</v>
          </cell>
          <cell r="D599" t="str">
            <v>OHADA</v>
          </cell>
          <cell r="E599" t="str">
            <v>433000 -Autres organismes sociaux - OHADA</v>
          </cell>
          <cell r="F599">
            <v>433300</v>
          </cell>
          <cell r="G599" t="str">
            <v>0</v>
          </cell>
          <cell r="H599" t="str">
            <v>Asset</v>
          </cell>
          <cell r="I599" t="str">
            <v>Balance Sheet</v>
          </cell>
          <cell r="J599" t="str">
            <v>XAF</v>
          </cell>
          <cell r="K599" t="str">
            <v>Autres créances</v>
          </cell>
        </row>
        <row r="600">
          <cell r="A600" t="str">
            <v>A599</v>
          </cell>
          <cell r="B600" t="str">
            <v>"438000 -Organismes sociaux, charges à payer et produits à recevoir - OHADA"</v>
          </cell>
          <cell r="C600" t="str">
            <v>438-Organismes sociaux, charges à payer et produits à recevoir</v>
          </cell>
          <cell r="D600" t="str">
            <v>OHADA</v>
          </cell>
          <cell r="E600" t="str">
            <v>430000 -Organismes sociaux (ACTIF) - OHADA</v>
          </cell>
          <cell r="F600">
            <v>438000</v>
          </cell>
          <cell r="G600" t="str">
            <v>1</v>
          </cell>
          <cell r="H600" t="str">
            <v>Asset</v>
          </cell>
          <cell r="I600" t="str">
            <v>Balance Sheet</v>
          </cell>
          <cell r="J600" t="str">
            <v>XAF</v>
          </cell>
          <cell r="K600" t="str">
            <v>Autres créances</v>
          </cell>
        </row>
        <row r="601">
          <cell r="A601" t="str">
            <v>A600</v>
          </cell>
          <cell r="B601" t="str">
            <v>"438700 - Produits à recevoir - OHADA"</v>
          </cell>
          <cell r="C601" t="str">
            <v>Produits à recevoir</v>
          </cell>
          <cell r="D601" t="str">
            <v>OHADA</v>
          </cell>
          <cell r="E601" t="str">
            <v>438000 -Organismes sociaux, charges à payer et produits à recevoir - OHADA</v>
          </cell>
          <cell r="F601">
            <v>438700</v>
          </cell>
          <cell r="G601" t="str">
            <v>0</v>
          </cell>
          <cell r="H601" t="str">
            <v>Asset</v>
          </cell>
          <cell r="I601" t="str">
            <v>Balance Sheet</v>
          </cell>
          <cell r="J601" t="str">
            <v>XAF</v>
          </cell>
          <cell r="K601" t="str">
            <v>Autres créances</v>
          </cell>
        </row>
        <row r="602">
          <cell r="A602" t="str">
            <v>A601</v>
          </cell>
          <cell r="B602" t="str">
            <v>"440000 -État et collectivités publiques (ACTIF) - OHADA"</v>
          </cell>
          <cell r="C602" t="str">
            <v>44-État et collectivités publiques (ACTIF)</v>
          </cell>
          <cell r="D602" t="str">
            <v>OHADA</v>
          </cell>
          <cell r="E602" t="str">
            <v>4-Comptes de Tiers (ACTIF) - OHADA</v>
          </cell>
          <cell r="F602">
            <v>440000</v>
          </cell>
          <cell r="G602" t="str">
            <v>1</v>
          </cell>
          <cell r="H602" t="str">
            <v>Asset</v>
          </cell>
          <cell r="I602" t="str">
            <v>Balance Sheet</v>
          </cell>
          <cell r="J602" t="str">
            <v>XAF</v>
          </cell>
          <cell r="K602" t="str">
            <v>Autres créances</v>
          </cell>
        </row>
        <row r="603">
          <cell r="A603" t="str">
            <v>A602</v>
          </cell>
          <cell r="B603" t="str">
            <v>"443000 - État, TVA facturée - OHADA"</v>
          </cell>
          <cell r="C603" t="str">
            <v>État, TVA facturée</v>
          </cell>
          <cell r="D603" t="str">
            <v>OHADA</v>
          </cell>
          <cell r="E603" t="str">
            <v>440000 -État et collectivités publiques (ACTIF) - OHADA</v>
          </cell>
          <cell r="F603">
            <v>443000</v>
          </cell>
          <cell r="G603" t="str">
            <v>1</v>
          </cell>
          <cell r="H603" t="str">
            <v>Asset</v>
          </cell>
          <cell r="I603" t="str">
            <v>Balance Sheet</v>
          </cell>
          <cell r="J603" t="str">
            <v>XAF</v>
          </cell>
          <cell r="K603" t="str">
            <v>Autres créances</v>
          </cell>
        </row>
        <row r="604">
          <cell r="A604" t="str">
            <v>A603</v>
          </cell>
          <cell r="B604" t="str">
            <v>"443100 - TVA facturée sur ventes - OHADA"</v>
          </cell>
          <cell r="C604" t="str">
            <v>TVA facturée sur ventes</v>
          </cell>
          <cell r="D604" t="str">
            <v>OHADA</v>
          </cell>
          <cell r="E604" t="str">
            <v>443000 - État, TVA facturée - OHADA</v>
          </cell>
          <cell r="F604">
            <v>443100</v>
          </cell>
          <cell r="G604" t="str">
            <v>0</v>
          </cell>
          <cell r="H604" t="str">
            <v>Asset</v>
          </cell>
          <cell r="I604" t="str">
            <v>Balance Sheet</v>
          </cell>
          <cell r="J604" t="str">
            <v>XAF</v>
          </cell>
          <cell r="K604" t="str">
            <v>Autres créances</v>
          </cell>
        </row>
        <row r="605">
          <cell r="A605" t="str">
            <v>A604</v>
          </cell>
          <cell r="B605" t="str">
            <v>"443200 - TVA facturée sur prestations de services - OHADA"</v>
          </cell>
          <cell r="C605" t="str">
            <v>TVA facturée sur prestations de services</v>
          </cell>
          <cell r="D605" t="str">
            <v>OHADA</v>
          </cell>
          <cell r="E605" t="str">
            <v>443000 - État, TVA facturée - OHADA</v>
          </cell>
          <cell r="F605">
            <v>443200</v>
          </cell>
          <cell r="G605" t="str">
            <v>0</v>
          </cell>
          <cell r="H605" t="str">
            <v>Asset</v>
          </cell>
          <cell r="I605" t="str">
            <v>Balance Sheet</v>
          </cell>
          <cell r="J605" t="str">
            <v>XAF</v>
          </cell>
          <cell r="K605" t="str">
            <v>Autres créances</v>
          </cell>
        </row>
        <row r="606">
          <cell r="A606" t="str">
            <v>A605</v>
          </cell>
          <cell r="B606" t="str">
            <v>"443300 - TVA facturée sur travaux - OHADA"</v>
          </cell>
          <cell r="C606" t="str">
            <v>TVA facturée sur travaux</v>
          </cell>
          <cell r="D606" t="str">
            <v>OHADA</v>
          </cell>
          <cell r="E606" t="str">
            <v>443000 - État, TVA facturée - OHADA</v>
          </cell>
          <cell r="F606">
            <v>443300</v>
          </cell>
          <cell r="G606" t="str">
            <v>0</v>
          </cell>
          <cell r="H606" t="str">
            <v>Asset</v>
          </cell>
          <cell r="I606" t="str">
            <v>Balance Sheet</v>
          </cell>
          <cell r="J606" t="str">
            <v>XAF</v>
          </cell>
          <cell r="K606" t="str">
            <v>Autres créances</v>
          </cell>
        </row>
        <row r="607">
          <cell r="A607" t="str">
            <v>A606</v>
          </cell>
          <cell r="B607" t="str">
            <v>"443400 - TVA facturée sur production livrée à soi - même - OHADA"</v>
          </cell>
          <cell r="C607" t="str">
            <v>TVA facturée sur production livrée à soi-même</v>
          </cell>
          <cell r="D607" t="str">
            <v>OHADA</v>
          </cell>
          <cell r="E607" t="str">
            <v>443000 - État, TVA facturée - OHADA</v>
          </cell>
          <cell r="F607">
            <v>443400</v>
          </cell>
          <cell r="G607" t="str">
            <v>0</v>
          </cell>
          <cell r="H607" t="str">
            <v>Asset</v>
          </cell>
          <cell r="I607" t="str">
            <v>Balance Sheet</v>
          </cell>
          <cell r="J607" t="str">
            <v>XAF</v>
          </cell>
          <cell r="K607" t="str">
            <v>Autres créances</v>
          </cell>
        </row>
        <row r="608">
          <cell r="A608" t="str">
            <v>A607</v>
          </cell>
          <cell r="B608" t="str">
            <v>"443500 - TVA sur factures à établir - OHADA"</v>
          </cell>
          <cell r="C608" t="str">
            <v>TVA sur factures à établir</v>
          </cell>
          <cell r="D608" t="str">
            <v>OHADA</v>
          </cell>
          <cell r="E608" t="str">
            <v>443000 - État, TVA facturée - OHADA</v>
          </cell>
          <cell r="F608">
            <v>443500</v>
          </cell>
          <cell r="G608" t="str">
            <v>0</v>
          </cell>
          <cell r="H608" t="str">
            <v>Asset</v>
          </cell>
          <cell r="I608" t="str">
            <v>Balance Sheet</v>
          </cell>
          <cell r="J608" t="str">
            <v>XAF</v>
          </cell>
          <cell r="K608" t="str">
            <v>Autres créances</v>
          </cell>
        </row>
        <row r="609">
          <cell r="A609" t="str">
            <v>A608</v>
          </cell>
          <cell r="B609" t="str">
            <v>"445000 - État, TVA récupérable - OHADA"</v>
          </cell>
          <cell r="C609" t="str">
            <v>État, TVA récupérable</v>
          </cell>
          <cell r="D609" t="str">
            <v>OHADA</v>
          </cell>
          <cell r="E609" t="str">
            <v>440000 -État et collectivités publiques (ACTIF) - OHADA</v>
          </cell>
          <cell r="F609">
            <v>445000</v>
          </cell>
          <cell r="G609" t="str">
            <v>1</v>
          </cell>
          <cell r="H609" t="str">
            <v>Asset</v>
          </cell>
          <cell r="I609" t="str">
            <v>Balance Sheet</v>
          </cell>
          <cell r="J609" t="str">
            <v>XAF</v>
          </cell>
          <cell r="K609" t="str">
            <v>Autres créances</v>
          </cell>
        </row>
        <row r="610">
          <cell r="A610" t="str">
            <v>A609</v>
          </cell>
          <cell r="B610" t="str">
            <v>"445100 - TVA récupérable sur immobilisations - OHADA"</v>
          </cell>
          <cell r="C610" t="str">
            <v>TVA récupérable sur immobilisations</v>
          </cell>
          <cell r="D610" t="str">
            <v>OHADA</v>
          </cell>
          <cell r="E610" t="str">
            <v>445000 - État, TVA récupérable - OHADA</v>
          </cell>
          <cell r="F610">
            <v>445100</v>
          </cell>
          <cell r="G610" t="str">
            <v>0</v>
          </cell>
          <cell r="H610" t="str">
            <v>Asset</v>
          </cell>
          <cell r="I610" t="str">
            <v>Balance Sheet</v>
          </cell>
          <cell r="J610" t="str">
            <v>XAF</v>
          </cell>
          <cell r="K610" t="str">
            <v>Autres créances</v>
          </cell>
        </row>
        <row r="611">
          <cell r="A611" t="str">
            <v>A610</v>
          </cell>
          <cell r="B611" t="str">
            <v>"445200 - TVA récupérable sur achats - OHADA"</v>
          </cell>
          <cell r="C611" t="str">
            <v>TVA récupérable sur achats</v>
          </cell>
          <cell r="D611" t="str">
            <v>OHADA</v>
          </cell>
          <cell r="E611" t="str">
            <v>445000 - État, TVA récupérable - OHADA</v>
          </cell>
          <cell r="F611">
            <v>445200</v>
          </cell>
          <cell r="G611" t="str">
            <v>0</v>
          </cell>
          <cell r="H611" t="str">
            <v>Asset</v>
          </cell>
          <cell r="I611" t="str">
            <v>Balance Sheet</v>
          </cell>
          <cell r="J611" t="str">
            <v>XAF</v>
          </cell>
          <cell r="K611" t="str">
            <v>Autres créances</v>
          </cell>
        </row>
        <row r="612">
          <cell r="A612" t="str">
            <v>A611</v>
          </cell>
          <cell r="B612" t="str">
            <v>"445300 - TVA récupérable sur transport - OHADA"</v>
          </cell>
          <cell r="C612" t="str">
            <v>TVA récupérable sur transport</v>
          </cell>
          <cell r="D612" t="str">
            <v>OHADA</v>
          </cell>
          <cell r="E612" t="str">
            <v>445000 - État, TVA récupérable - OHADA</v>
          </cell>
          <cell r="F612">
            <v>445300</v>
          </cell>
          <cell r="G612" t="str">
            <v>0</v>
          </cell>
          <cell r="H612" t="str">
            <v>Asset</v>
          </cell>
          <cell r="I612" t="str">
            <v>Balance Sheet</v>
          </cell>
          <cell r="J612" t="str">
            <v>XAF</v>
          </cell>
          <cell r="K612" t="str">
            <v>Autres créances</v>
          </cell>
        </row>
        <row r="613">
          <cell r="A613" t="str">
            <v>A612</v>
          </cell>
          <cell r="B613" t="str">
            <v>"445400 - TVA récupérable sur services extérieurs et autres charges - OHADA"</v>
          </cell>
          <cell r="C613" t="str">
            <v>TVA récupérable sur services extérieurs et autres charges</v>
          </cell>
          <cell r="D613" t="str">
            <v>OHADA</v>
          </cell>
          <cell r="E613" t="str">
            <v>445000 - État, TVA récupérable - OHADA</v>
          </cell>
          <cell r="F613">
            <v>445400</v>
          </cell>
          <cell r="G613" t="str">
            <v>0</v>
          </cell>
          <cell r="H613" t="str">
            <v>Asset</v>
          </cell>
          <cell r="I613" t="str">
            <v>Balance Sheet</v>
          </cell>
          <cell r="J613" t="str">
            <v>XAF</v>
          </cell>
          <cell r="K613" t="str">
            <v>Autres créances</v>
          </cell>
        </row>
        <row r="614">
          <cell r="A614" t="str">
            <v>A613</v>
          </cell>
          <cell r="B614" t="str">
            <v>"445500 - TVA récupérable sur factures non parvenues - OHADA"</v>
          </cell>
          <cell r="C614" t="str">
            <v>TVA récupérable sur factures non parvenues</v>
          </cell>
          <cell r="D614" t="str">
            <v>OHADA</v>
          </cell>
          <cell r="E614" t="str">
            <v>445000 - État, TVA récupérable - OHADA</v>
          </cell>
          <cell r="F614">
            <v>445500</v>
          </cell>
          <cell r="G614" t="str">
            <v>0</v>
          </cell>
          <cell r="H614" t="str">
            <v>Asset</v>
          </cell>
          <cell r="I614" t="str">
            <v>Balance Sheet</v>
          </cell>
          <cell r="J614" t="str">
            <v>XAF</v>
          </cell>
          <cell r="K614" t="str">
            <v>Autres créances</v>
          </cell>
        </row>
        <row r="615">
          <cell r="A615" t="str">
            <v>A614</v>
          </cell>
          <cell r="B615" t="str">
            <v>"445600 - TVA transférée par d’autres entités - OHADA"</v>
          </cell>
          <cell r="C615" t="str">
            <v>TVA transférée par d’autres entités</v>
          </cell>
          <cell r="D615" t="str">
            <v>OHADA</v>
          </cell>
          <cell r="E615" t="str">
            <v>445000 - État, TVA récupérable - OHADA</v>
          </cell>
          <cell r="F615">
            <v>445600</v>
          </cell>
          <cell r="G615" t="str">
            <v>0</v>
          </cell>
          <cell r="H615" t="str">
            <v>Asset</v>
          </cell>
          <cell r="I615" t="str">
            <v>Balance Sheet</v>
          </cell>
          <cell r="J615" t="str">
            <v>XAF</v>
          </cell>
          <cell r="K615" t="str">
            <v>Autres créances</v>
          </cell>
        </row>
        <row r="616">
          <cell r="A616" t="str">
            <v>A615</v>
          </cell>
          <cell r="B616" t="str">
            <v>"448000 - État, charges à payer et produits à recevoir - OHADA"</v>
          </cell>
          <cell r="C616" t="str">
            <v>État, charges à payer et produits à recevoir</v>
          </cell>
          <cell r="D616" t="str">
            <v>OHADA</v>
          </cell>
          <cell r="E616" t="str">
            <v>440000 -État et collectivités publiques (ACTIF) - OHADA</v>
          </cell>
          <cell r="F616">
            <v>448000</v>
          </cell>
          <cell r="G616" t="str">
            <v>1</v>
          </cell>
          <cell r="H616" t="str">
            <v>Asset</v>
          </cell>
          <cell r="I616" t="str">
            <v>Balance Sheet</v>
          </cell>
          <cell r="J616" t="str">
            <v>XAF</v>
          </cell>
          <cell r="K616" t="str">
            <v>Autres créances</v>
          </cell>
        </row>
        <row r="617">
          <cell r="A617" t="str">
            <v>A616</v>
          </cell>
          <cell r="B617" t="str">
            <v>"448600 - Charges à payer - OHADA"</v>
          </cell>
          <cell r="C617" t="str">
            <v>Charges à payer</v>
          </cell>
          <cell r="D617" t="str">
            <v>OHADA</v>
          </cell>
          <cell r="E617" t="str">
            <v>448000 - État, charges à payer et produits à recevoir - OHADA</v>
          </cell>
          <cell r="F617">
            <v>448600</v>
          </cell>
          <cell r="G617" t="str">
            <v>0</v>
          </cell>
          <cell r="H617" t="str">
            <v>Asset</v>
          </cell>
          <cell r="I617" t="str">
            <v>Balance Sheet</v>
          </cell>
          <cell r="J617" t="str">
            <v>XAF</v>
          </cell>
          <cell r="K617" t="str">
            <v>Autres créances</v>
          </cell>
        </row>
        <row r="618">
          <cell r="A618" t="str">
            <v>A617</v>
          </cell>
          <cell r="B618" t="str">
            <v>"448700 - Produits à recevoir - OHADA"</v>
          </cell>
          <cell r="C618" t="str">
            <v>Produits à recevoir</v>
          </cell>
          <cell r="D618" t="str">
            <v>OHADA</v>
          </cell>
          <cell r="E618" t="str">
            <v>448000 - État, charges à payer et produits à recevoir - OHADA</v>
          </cell>
          <cell r="F618">
            <v>448700</v>
          </cell>
          <cell r="G618" t="str">
            <v>0</v>
          </cell>
          <cell r="H618" t="str">
            <v>Asset</v>
          </cell>
          <cell r="I618" t="str">
            <v>Balance Sheet</v>
          </cell>
          <cell r="J618" t="str">
            <v>XAF</v>
          </cell>
          <cell r="K618" t="str">
            <v>Autres créances</v>
          </cell>
        </row>
        <row r="619">
          <cell r="A619" t="str">
            <v>A618</v>
          </cell>
          <cell r="B619" t="str">
            <v>"449000 - État, créances et dettes diverses - OHADA"</v>
          </cell>
          <cell r="C619" t="str">
            <v>État, créances et dettes diverses</v>
          </cell>
          <cell r="D619" t="str">
            <v>OHADA</v>
          </cell>
          <cell r="E619" t="str">
            <v>440000 -État et collectivités publiques (ACTIF) - OHADA</v>
          </cell>
          <cell r="F619">
            <v>449000</v>
          </cell>
          <cell r="G619" t="str">
            <v>1</v>
          </cell>
          <cell r="H619" t="str">
            <v>Asset</v>
          </cell>
          <cell r="I619" t="str">
            <v>Balance Sheet</v>
          </cell>
          <cell r="J619" t="str">
            <v>XAF</v>
          </cell>
          <cell r="K619" t="str">
            <v>Autres créances</v>
          </cell>
        </row>
        <row r="620">
          <cell r="A620" t="str">
            <v>A619</v>
          </cell>
          <cell r="B620" t="str">
            <v>"449100 - État, obligations cautionnées - OHADA"</v>
          </cell>
          <cell r="C620" t="str">
            <v>État, obligations cautionnées</v>
          </cell>
          <cell r="D620" t="str">
            <v>OHADA</v>
          </cell>
          <cell r="E620" t="str">
            <v>449000 - État, créances et dettes diverses - OHADA</v>
          </cell>
          <cell r="F620">
            <v>449100</v>
          </cell>
          <cell r="G620" t="str">
            <v>0</v>
          </cell>
          <cell r="H620" t="str">
            <v>Asset</v>
          </cell>
          <cell r="I620" t="str">
            <v>Balance Sheet</v>
          </cell>
          <cell r="J620" t="str">
            <v>XAF</v>
          </cell>
          <cell r="K620" t="str">
            <v>Autres créances</v>
          </cell>
        </row>
        <row r="621">
          <cell r="A621" t="str">
            <v>A620</v>
          </cell>
          <cell r="B621" t="str">
            <v>"449200 - État, avances et acomptes versés sur impôts - OHADA"</v>
          </cell>
          <cell r="C621" t="str">
            <v>État, avances et acomptes versés sur impôts</v>
          </cell>
          <cell r="D621" t="str">
            <v>OHADA</v>
          </cell>
          <cell r="E621" t="str">
            <v>449000 - État, créances et dettes diverses - OHADA</v>
          </cell>
          <cell r="F621">
            <v>449200</v>
          </cell>
          <cell r="G621" t="str">
            <v>0</v>
          </cell>
          <cell r="H621" t="str">
            <v>Asset</v>
          </cell>
          <cell r="I621" t="str">
            <v>Balance Sheet</v>
          </cell>
          <cell r="J621" t="str">
            <v>XAF</v>
          </cell>
          <cell r="K621" t="str">
            <v>Autres créances</v>
          </cell>
        </row>
        <row r="622">
          <cell r="A622" t="str">
            <v>A621</v>
          </cell>
          <cell r="B622" t="str">
            <v>"449300 - État, fonds de dotation à recevoir - OHADA"</v>
          </cell>
          <cell r="C622" t="str">
            <v>État, fonds de dotation à recevoir</v>
          </cell>
          <cell r="D622" t="str">
            <v>OHADA</v>
          </cell>
          <cell r="E622" t="str">
            <v>449000 - État, créances et dettes diverses - OHADA</v>
          </cell>
          <cell r="F622">
            <v>449300</v>
          </cell>
          <cell r="G622" t="str">
            <v>0</v>
          </cell>
          <cell r="H622" t="str">
            <v>Asset</v>
          </cell>
          <cell r="I622" t="str">
            <v>Balance Sheet</v>
          </cell>
          <cell r="J622" t="str">
            <v>XAF</v>
          </cell>
          <cell r="K622" t="str">
            <v>Autres créances</v>
          </cell>
        </row>
        <row r="623">
          <cell r="A623" t="str">
            <v>A622</v>
          </cell>
          <cell r="B623" t="str">
            <v>"449400 - État, subventions investissement à recevoir - OHADA"</v>
          </cell>
          <cell r="C623" t="str">
            <v>État, subventions investissement à recevoir</v>
          </cell>
          <cell r="D623" t="str">
            <v>OHADA</v>
          </cell>
          <cell r="E623" t="str">
            <v>449000 - État, créances et dettes diverses - OHADA</v>
          </cell>
          <cell r="F623">
            <v>449400</v>
          </cell>
          <cell r="G623" t="str">
            <v>0</v>
          </cell>
          <cell r="H623" t="str">
            <v>Asset</v>
          </cell>
          <cell r="I623" t="str">
            <v>Balance Sheet</v>
          </cell>
          <cell r="J623" t="str">
            <v>XAF</v>
          </cell>
          <cell r="K623" t="str">
            <v>Autres créances</v>
          </cell>
        </row>
        <row r="624">
          <cell r="A624" t="str">
            <v>A623</v>
          </cell>
          <cell r="B624" t="str">
            <v>"449500 - État, subventions d’exploitation à recevoir - OHADA"</v>
          </cell>
          <cell r="C624" t="str">
            <v>État, subventions d’exploitation à recevoir</v>
          </cell>
          <cell r="D624" t="str">
            <v>OHADA</v>
          </cell>
          <cell r="E624" t="str">
            <v>449000 - État, créances et dettes diverses - OHADA</v>
          </cell>
          <cell r="F624">
            <v>449500</v>
          </cell>
          <cell r="G624" t="str">
            <v>0</v>
          </cell>
          <cell r="H624" t="str">
            <v>Asset</v>
          </cell>
          <cell r="I624" t="str">
            <v>Balance Sheet</v>
          </cell>
          <cell r="J624" t="str">
            <v>XAF</v>
          </cell>
          <cell r="K624" t="str">
            <v>Autres créances</v>
          </cell>
        </row>
        <row r="625">
          <cell r="A625" t="str">
            <v>A624</v>
          </cell>
          <cell r="B625" t="str">
            <v>"449600 - État, subventions d’équilibre à recevoir - OHADA"</v>
          </cell>
          <cell r="C625" t="str">
            <v>État, subventions d’équilibre à recevoir</v>
          </cell>
          <cell r="D625" t="str">
            <v>OHADA</v>
          </cell>
          <cell r="E625" t="str">
            <v>449000 - État, créances et dettes diverses - OHADA</v>
          </cell>
          <cell r="F625">
            <v>449600</v>
          </cell>
          <cell r="G625" t="str">
            <v>0</v>
          </cell>
          <cell r="H625" t="str">
            <v>Asset</v>
          </cell>
          <cell r="I625" t="str">
            <v>Balance Sheet</v>
          </cell>
          <cell r="J625" t="str">
            <v>XAF</v>
          </cell>
          <cell r="K625" t="str">
            <v>Autres créances</v>
          </cell>
        </row>
        <row r="626">
          <cell r="A626" t="str">
            <v>A625</v>
          </cell>
          <cell r="B626" t="str">
            <v>"449700 - État, avances sur subventions - OHADA"</v>
          </cell>
          <cell r="C626" t="str">
            <v>État, avances sur subventions</v>
          </cell>
          <cell r="D626" t="str">
            <v>OHADA</v>
          </cell>
          <cell r="E626" t="str">
            <v>449000 - État, créances et dettes diverses - OHADA</v>
          </cell>
          <cell r="F626">
            <v>449700</v>
          </cell>
          <cell r="G626" t="str">
            <v>0</v>
          </cell>
          <cell r="H626" t="str">
            <v>Asset</v>
          </cell>
          <cell r="I626" t="str">
            <v>Balance Sheet</v>
          </cell>
          <cell r="J626" t="str">
            <v>XAF</v>
          </cell>
          <cell r="K626" t="str">
            <v>Autres créances</v>
          </cell>
        </row>
        <row r="627">
          <cell r="A627" t="str">
            <v>A626</v>
          </cell>
          <cell r="B627" t="str">
            <v>"449900 - État, fonds réglementés provisionnés - OHADA"</v>
          </cell>
          <cell r="C627" t="str">
            <v>État, fonds réglementés provisionnés</v>
          </cell>
          <cell r="D627" t="str">
            <v>OHADA</v>
          </cell>
          <cell r="E627" t="str">
            <v>449000 - État, créances et dettes diverses - OHADA</v>
          </cell>
          <cell r="F627">
            <v>449900</v>
          </cell>
          <cell r="G627" t="str">
            <v>0</v>
          </cell>
          <cell r="H627" t="str">
            <v>Asset</v>
          </cell>
          <cell r="I627" t="str">
            <v>Balance Sheet</v>
          </cell>
          <cell r="J627" t="str">
            <v>XAF</v>
          </cell>
          <cell r="K627" t="str">
            <v>Autres créances</v>
          </cell>
        </row>
        <row r="628">
          <cell r="A628" t="str">
            <v>A627</v>
          </cell>
          <cell r="B628" t="str">
            <v>"450000 -Organismes internationaux (ACTIF) - OHADA"</v>
          </cell>
          <cell r="C628" t="str">
            <v>45-Organismes internationaux (ACTIF)</v>
          </cell>
          <cell r="D628" t="str">
            <v>OHADA</v>
          </cell>
          <cell r="E628" t="str">
            <v>4-Comptes de Tiers (ACTIF) - OHADA</v>
          </cell>
          <cell r="F628">
            <v>450000</v>
          </cell>
          <cell r="G628" t="str">
            <v>1</v>
          </cell>
          <cell r="H628" t="str">
            <v>Asset</v>
          </cell>
          <cell r="I628" t="str">
            <v>Balance Sheet</v>
          </cell>
          <cell r="J628" t="str">
            <v>XAF</v>
          </cell>
          <cell r="K628" t="str">
            <v>Autres créances</v>
          </cell>
        </row>
        <row r="629">
          <cell r="A629" t="str">
            <v>A628</v>
          </cell>
          <cell r="B629" t="str">
            <v>"451000 - Opérations avec les organismes africains - OHADA"</v>
          </cell>
          <cell r="C629" t="str">
            <v>Opérations avec les organismes africains</v>
          </cell>
          <cell r="D629" t="str">
            <v>OHADA</v>
          </cell>
          <cell r="E629" t="str">
            <v>450000 -Organismes internationaux (ACTIF) - OHADA</v>
          </cell>
          <cell r="F629">
            <v>451000</v>
          </cell>
          <cell r="G629" t="str">
            <v>0</v>
          </cell>
          <cell r="H629" t="str">
            <v>Asset</v>
          </cell>
          <cell r="I629" t="str">
            <v>Balance Sheet</v>
          </cell>
          <cell r="J629" t="str">
            <v>XAF</v>
          </cell>
          <cell r="K629" t="str">
            <v>Autres créances</v>
          </cell>
        </row>
        <row r="630">
          <cell r="A630" t="str">
            <v>A629</v>
          </cell>
          <cell r="B630" t="str">
            <v>"452000 - Opérations avec les autres organismes internationaux - OHADA"</v>
          </cell>
          <cell r="C630" t="str">
            <v>Opérations avec les autres organismes internationaux</v>
          </cell>
          <cell r="D630" t="str">
            <v>OHADA</v>
          </cell>
          <cell r="E630" t="str">
            <v>450000 -Organismes internationaux (ACTIF) - OHADA</v>
          </cell>
          <cell r="F630">
            <v>452000</v>
          </cell>
          <cell r="G630" t="str">
            <v>0</v>
          </cell>
          <cell r="H630" t="str">
            <v>Asset</v>
          </cell>
          <cell r="I630" t="str">
            <v>Balance Sheet</v>
          </cell>
          <cell r="J630" t="str">
            <v>XAF</v>
          </cell>
          <cell r="K630" t="str">
            <v>Autres créances</v>
          </cell>
        </row>
        <row r="631">
          <cell r="A631" t="str">
            <v>A630</v>
          </cell>
          <cell r="B631" t="str">
            <v>"458000 - Organismes internationaux, fonds de dotation et subventions à recevoir - OHADA"</v>
          </cell>
          <cell r="C631" t="str">
            <v>Organismes internationaux, fonds de dotation et subventions à recevoir</v>
          </cell>
          <cell r="D631" t="str">
            <v>OHADA</v>
          </cell>
          <cell r="E631" t="str">
            <v>450000 -Organismes internationaux (ACTIF) - OHADA</v>
          </cell>
          <cell r="F631">
            <v>458000</v>
          </cell>
          <cell r="G631" t="str">
            <v>1</v>
          </cell>
          <cell r="H631" t="str">
            <v>Asset</v>
          </cell>
          <cell r="I631" t="str">
            <v>Balance Sheet</v>
          </cell>
          <cell r="J631" t="str">
            <v>XAF</v>
          </cell>
          <cell r="K631" t="str">
            <v>Autres créances</v>
          </cell>
        </row>
        <row r="632">
          <cell r="A632" t="str">
            <v>A631</v>
          </cell>
          <cell r="B632" t="str">
            <v>"458100 - Organismes internationaux, fonds de dotation à recevoir - OHADA"</v>
          </cell>
          <cell r="C632" t="str">
            <v>Organismes internationaux, fonds de dotation à recevoir</v>
          </cell>
          <cell r="D632" t="str">
            <v>OHADA</v>
          </cell>
          <cell r="E632" t="str">
            <v>458000 - Organismes internationaux, fonds de dotation et subventions à recevoir - OHADA</v>
          </cell>
          <cell r="F632">
            <v>458100</v>
          </cell>
          <cell r="G632" t="str">
            <v>0</v>
          </cell>
          <cell r="H632" t="str">
            <v>Asset</v>
          </cell>
          <cell r="I632" t="str">
            <v>Balance Sheet</v>
          </cell>
          <cell r="J632" t="str">
            <v>XAF</v>
          </cell>
          <cell r="K632" t="str">
            <v>Autres créances</v>
          </cell>
        </row>
        <row r="633">
          <cell r="A633" t="str">
            <v>A632</v>
          </cell>
          <cell r="B633" t="str">
            <v>"458200 - Organismes internationaux, subventions à recevoir - OHADA"</v>
          </cell>
          <cell r="C633" t="str">
            <v>Organismes internationaux, subventions à recevoir</v>
          </cell>
          <cell r="D633" t="str">
            <v>OHADA</v>
          </cell>
          <cell r="E633" t="str">
            <v>458000 - Organismes internationaux, fonds de dotation et subventions à recevoir - OHADA</v>
          </cell>
          <cell r="F633">
            <v>458200</v>
          </cell>
          <cell r="G633" t="str">
            <v>0</v>
          </cell>
          <cell r="H633" t="str">
            <v>Asset</v>
          </cell>
          <cell r="I633" t="str">
            <v>Balance Sheet</v>
          </cell>
          <cell r="J633" t="str">
            <v>XAF</v>
          </cell>
          <cell r="K633" t="str">
            <v>Autres créances</v>
          </cell>
        </row>
        <row r="634">
          <cell r="A634" t="str">
            <v>A633</v>
          </cell>
          <cell r="B634" t="str">
            <v>"460000 -Apporteurs, associés et groupe (ACTIF) - OHADA"</v>
          </cell>
          <cell r="C634" t="str">
            <v>46-Apporteurs, associés et groupe (ACTIF)</v>
          </cell>
          <cell r="D634" t="str">
            <v>OHADA</v>
          </cell>
          <cell r="E634" t="str">
            <v>4-Comptes de Tiers (ACTIF) - OHADA</v>
          </cell>
          <cell r="F634">
            <v>460000</v>
          </cell>
          <cell r="G634" t="str">
            <v>1</v>
          </cell>
          <cell r="H634" t="str">
            <v>Asset</v>
          </cell>
          <cell r="I634" t="str">
            <v>Balance Sheet</v>
          </cell>
          <cell r="J634" t="str">
            <v>XAF</v>
          </cell>
          <cell r="K634" t="str">
            <v>Autres créances</v>
          </cell>
        </row>
        <row r="635">
          <cell r="A635" t="str">
            <v>A634</v>
          </cell>
          <cell r="B635" t="str">
            <v>"461000 -Apporteurs, opérations sur le capital - OHADA"</v>
          </cell>
          <cell r="C635" t="str">
            <v>461-Apporteurs, opérations sur le capital</v>
          </cell>
          <cell r="D635" t="str">
            <v>OHADA</v>
          </cell>
          <cell r="E635" t="str">
            <v>460000 -Apporteurs, associés et groupe (ACTIF) - OHADA</v>
          </cell>
          <cell r="F635">
            <v>461000</v>
          </cell>
          <cell r="G635" t="str">
            <v>1</v>
          </cell>
          <cell r="H635" t="str">
            <v>Asset</v>
          </cell>
          <cell r="I635" t="str">
            <v>Balance Sheet</v>
          </cell>
          <cell r="J635" t="str">
            <v>XAF</v>
          </cell>
          <cell r="K635" t="str">
            <v>Autres créances</v>
          </cell>
        </row>
        <row r="636">
          <cell r="A636" t="str">
            <v>A635</v>
          </cell>
          <cell r="B636" t="str">
            <v>"461300 - Apporteurs, capital appelé, non versé - OHADA"</v>
          </cell>
          <cell r="C636" t="str">
            <v>Apporteurs, capital appelé, non versé</v>
          </cell>
          <cell r="D636" t="str">
            <v>OHADA</v>
          </cell>
          <cell r="E636" t="str">
            <v>461000 -Apporteurs, opérations sur le capital - OHADA</v>
          </cell>
          <cell r="F636">
            <v>461300</v>
          </cell>
          <cell r="G636" t="str">
            <v>0</v>
          </cell>
          <cell r="H636" t="str">
            <v>Asset</v>
          </cell>
          <cell r="I636" t="str">
            <v>Balance Sheet</v>
          </cell>
          <cell r="J636" t="str">
            <v>XAF</v>
          </cell>
          <cell r="K636" t="str">
            <v>Autres créances</v>
          </cell>
        </row>
        <row r="637">
          <cell r="A637" t="str">
            <v>A636</v>
          </cell>
          <cell r="B637" t="str">
            <v>"461400 - Apporteurs, compte d’apport, opérations de restructuration (fusion...) - OHADA"</v>
          </cell>
          <cell r="C637" t="str">
            <v>Apporteurs, compte d’apport, opérations de restructuration (fusion...)</v>
          </cell>
          <cell r="D637" t="str">
            <v>OHADA</v>
          </cell>
          <cell r="E637" t="str">
            <v>461000 -Apporteurs, opérations sur le capital - OHADA</v>
          </cell>
          <cell r="F637">
            <v>461400</v>
          </cell>
          <cell r="G637" t="str">
            <v>0</v>
          </cell>
          <cell r="H637" t="str">
            <v>Asset</v>
          </cell>
          <cell r="I637" t="str">
            <v>Balance Sheet</v>
          </cell>
          <cell r="J637" t="str">
            <v>XAF</v>
          </cell>
          <cell r="K637" t="str">
            <v>Autres créances</v>
          </cell>
        </row>
        <row r="638">
          <cell r="A638" t="str">
            <v>A637</v>
          </cell>
          <cell r="B638" t="str">
            <v>"461800 - Apporteurs, titres à échanger - OHADA"</v>
          </cell>
          <cell r="C638" t="str">
            <v>Apporteurs, titres à échanger</v>
          </cell>
          <cell r="D638" t="str">
            <v>OHADA</v>
          </cell>
          <cell r="E638" t="str">
            <v>461000 -Apporteurs, opérations sur le capital - OHADA</v>
          </cell>
          <cell r="F638">
            <v>461800</v>
          </cell>
          <cell r="G638" t="str">
            <v>0</v>
          </cell>
          <cell r="H638" t="str">
            <v>Asset</v>
          </cell>
          <cell r="I638" t="str">
            <v>Balance Sheet</v>
          </cell>
          <cell r="J638" t="str">
            <v>XAF</v>
          </cell>
          <cell r="K638" t="str">
            <v>Autres créances</v>
          </cell>
        </row>
        <row r="639">
          <cell r="A639" t="str">
            <v>A638</v>
          </cell>
          <cell r="B639" t="str">
            <v>"467000 - Apporteurs, restant dû sur capital appelé - OHADA"</v>
          </cell>
          <cell r="C639" t="str">
            <v>Apporteurs, restant dû sur capital appelé</v>
          </cell>
          <cell r="D639" t="str">
            <v>OHADA</v>
          </cell>
          <cell r="E639" t="str">
            <v>460000 -Apporteurs, associés et groupe (ACTIF) - OHADA</v>
          </cell>
          <cell r="F639">
            <v>467000</v>
          </cell>
          <cell r="G639" t="str">
            <v>0</v>
          </cell>
          <cell r="H639" t="str">
            <v>Asset</v>
          </cell>
          <cell r="I639" t="str">
            <v>Balance Sheet</v>
          </cell>
          <cell r="J639" t="str">
            <v>XAF</v>
          </cell>
          <cell r="K639" t="str">
            <v>Autres créances</v>
          </cell>
        </row>
        <row r="640">
          <cell r="A640" t="str">
            <v>A639</v>
          </cell>
          <cell r="B640" t="str">
            <v>"470000 -Débiteurs et créditeurs divers (ACTIF) - OHADA"</v>
          </cell>
          <cell r="C640" t="str">
            <v>47-Débiteurs et créditeurs divers (ACTIF)</v>
          </cell>
          <cell r="D640" t="str">
            <v>OHADA</v>
          </cell>
          <cell r="E640" t="str">
            <v>4-Comptes de Tiers (ACTIF) - OHADA</v>
          </cell>
          <cell r="F640">
            <v>470000</v>
          </cell>
          <cell r="G640" t="str">
            <v>1</v>
          </cell>
          <cell r="H640" t="str">
            <v>Asset</v>
          </cell>
          <cell r="I640" t="str">
            <v>Balance Sheet</v>
          </cell>
          <cell r="J640" t="str">
            <v>XAF</v>
          </cell>
          <cell r="K640" t="str">
            <v>Autres créances</v>
          </cell>
        </row>
        <row r="641">
          <cell r="A641" t="str">
            <v>A640</v>
          </cell>
          <cell r="B641" t="str">
            <v>"472000 -Créances et dettes sur titres de placement - OHADA"</v>
          </cell>
          <cell r="C641" t="str">
            <v>472-Créances et dettes sur titres de placement</v>
          </cell>
          <cell r="D641" t="str">
            <v>OHADA</v>
          </cell>
          <cell r="E641" t="str">
            <v>470000 -Débiteurs et créditeurs divers (ACTIF) - OHADA</v>
          </cell>
          <cell r="F641">
            <v>472000</v>
          </cell>
          <cell r="G641" t="str">
            <v>1</v>
          </cell>
          <cell r="H641" t="str">
            <v>Asset</v>
          </cell>
          <cell r="I641" t="str">
            <v>Balance Sheet</v>
          </cell>
          <cell r="J641" t="str">
            <v>XAF</v>
          </cell>
          <cell r="K641" t="str">
            <v>Autres créances</v>
          </cell>
        </row>
        <row r="642">
          <cell r="A642" t="str">
            <v>A641</v>
          </cell>
          <cell r="B642" t="str">
            <v>"472100 - Créances sur cessions de titres de placement - OHADA"</v>
          </cell>
          <cell r="C642" t="str">
            <v>Créances sur cessions de titres de placement</v>
          </cell>
          <cell r="D642" t="str">
            <v>OHADA</v>
          </cell>
          <cell r="E642" t="str">
            <v>472000 -Créances et dettes sur titres de placement - OHADA</v>
          </cell>
          <cell r="F642">
            <v>472100</v>
          </cell>
          <cell r="G642" t="str">
            <v>0</v>
          </cell>
          <cell r="H642" t="str">
            <v>Asset</v>
          </cell>
          <cell r="I642" t="str">
            <v>Balance Sheet</v>
          </cell>
          <cell r="J642" t="str">
            <v>XAF</v>
          </cell>
          <cell r="K642" t="str">
            <v>Autres créances</v>
          </cell>
        </row>
        <row r="643">
          <cell r="A643" t="str">
            <v>A642</v>
          </cell>
          <cell r="B643" t="str">
            <v>"472600 - Versements restant à effectuer sur titres de placement non libérés - OHADA"</v>
          </cell>
          <cell r="C643" t="str">
            <v>Versements restant à effectuer sur titres de placement non libérés</v>
          </cell>
          <cell r="D643" t="str">
            <v>OHADA</v>
          </cell>
          <cell r="E643" t="str">
            <v>472000 -Créances et dettes sur titres de placement - OHADA</v>
          </cell>
          <cell r="F643">
            <v>472600</v>
          </cell>
          <cell r="G643" t="str">
            <v>0</v>
          </cell>
          <cell r="H643" t="str">
            <v>Asset</v>
          </cell>
          <cell r="I643" t="str">
            <v>Balance Sheet</v>
          </cell>
          <cell r="J643" t="str">
            <v>XAF</v>
          </cell>
          <cell r="K643" t="str">
            <v>Autres créances</v>
          </cell>
        </row>
        <row r="644">
          <cell r="A644" t="str">
            <v>A643</v>
          </cell>
          <cell r="B644" t="str">
            <v>"473000 -Intermédiaires Opérations faites pour compte de tiers - OHADA"</v>
          </cell>
          <cell r="C644" t="str">
            <v>473-Intermédiaires Opérations faites pour compte de tiers</v>
          </cell>
          <cell r="D644" t="str">
            <v>OHADA</v>
          </cell>
          <cell r="E644" t="str">
            <v>470000 -Débiteurs et créditeurs divers (ACTIF) - OHADA</v>
          </cell>
          <cell r="F644">
            <v>473000</v>
          </cell>
          <cell r="G644" t="str">
            <v>1</v>
          </cell>
          <cell r="H644" t="str">
            <v>Asset</v>
          </cell>
          <cell r="I644" t="str">
            <v>Balance Sheet</v>
          </cell>
          <cell r="J644" t="str">
            <v>XAF</v>
          </cell>
          <cell r="K644" t="str">
            <v>Autres créances</v>
          </cell>
        </row>
        <row r="645">
          <cell r="A645" t="str">
            <v>A644</v>
          </cell>
          <cell r="B645" t="str">
            <v>"473100 - Mandants - OHADA"</v>
          </cell>
          <cell r="C645" t="str">
            <v>Mandants</v>
          </cell>
          <cell r="D645" t="str">
            <v>OHADA</v>
          </cell>
          <cell r="E645" t="str">
            <v>473000 -Intermédiaires Opérations faites pour compte de tiers - OHADA</v>
          </cell>
          <cell r="F645">
            <v>473100</v>
          </cell>
          <cell r="G645" t="str">
            <v>0</v>
          </cell>
          <cell r="H645" t="str">
            <v>Asset</v>
          </cell>
          <cell r="I645" t="str">
            <v>Balance Sheet</v>
          </cell>
          <cell r="J645" t="str">
            <v>XAF</v>
          </cell>
          <cell r="K645" t="str">
            <v>Autres créances</v>
          </cell>
        </row>
        <row r="646">
          <cell r="A646" t="str">
            <v>A645</v>
          </cell>
          <cell r="B646" t="str">
            <v>"473200 - Mandataires - OHADA"</v>
          </cell>
          <cell r="C646" t="str">
            <v>Mandataires</v>
          </cell>
          <cell r="D646" t="str">
            <v>OHADA</v>
          </cell>
          <cell r="E646" t="str">
            <v>473000 -Intermédiaires Opérations faites pour compte de tiers - OHADA</v>
          </cell>
          <cell r="F646">
            <v>473200</v>
          </cell>
          <cell r="G646" t="str">
            <v>0</v>
          </cell>
          <cell r="H646" t="str">
            <v>Asset</v>
          </cell>
          <cell r="I646" t="str">
            <v>Balance Sheet</v>
          </cell>
          <cell r="J646" t="str">
            <v>XAF</v>
          </cell>
          <cell r="K646" t="str">
            <v>Autres créances</v>
          </cell>
        </row>
        <row r="647">
          <cell r="A647" t="str">
            <v>A646</v>
          </cell>
          <cell r="B647" t="str">
            <v>"473300 - Commettants - OHADA"</v>
          </cell>
          <cell r="C647" t="str">
            <v>Commettants</v>
          </cell>
          <cell r="D647" t="str">
            <v>OHADA</v>
          </cell>
          <cell r="E647" t="str">
            <v>473000 -Intermédiaires Opérations faites pour compte de tiers - OHADA</v>
          </cell>
          <cell r="F647">
            <v>473300</v>
          </cell>
          <cell r="G647" t="str">
            <v>0</v>
          </cell>
          <cell r="H647" t="str">
            <v>Asset</v>
          </cell>
          <cell r="I647" t="str">
            <v>Balance Sheet</v>
          </cell>
          <cell r="J647" t="str">
            <v>XAF</v>
          </cell>
          <cell r="K647" t="str">
            <v>Autres créances</v>
          </cell>
        </row>
        <row r="648">
          <cell r="A648" t="str">
            <v>A647</v>
          </cell>
          <cell r="B648" t="str">
            <v>"473400 - Commissionnaires - OHADA"</v>
          </cell>
          <cell r="C648" t="str">
            <v>Commissionnaires</v>
          </cell>
          <cell r="D648" t="str">
            <v>OHADA</v>
          </cell>
          <cell r="E648" t="str">
            <v>473000 -Intermédiaires Opérations faites pour compte de tiers - OHADA</v>
          </cell>
          <cell r="F648">
            <v>473400</v>
          </cell>
          <cell r="G648" t="str">
            <v>0</v>
          </cell>
          <cell r="H648" t="str">
            <v>Asset</v>
          </cell>
          <cell r="I648" t="str">
            <v>Balance Sheet</v>
          </cell>
          <cell r="J648" t="str">
            <v>XAF</v>
          </cell>
          <cell r="K648" t="str">
            <v>Autres créances</v>
          </cell>
        </row>
        <row r="649">
          <cell r="A649" t="str">
            <v>A648</v>
          </cell>
          <cell r="B649" t="str">
            <v>"473900 - État, Collectivités publiques, fonds global d’allocation - OHADA"</v>
          </cell>
          <cell r="C649" t="str">
            <v>État, Collectivités publiques, fonds global d’allocation</v>
          </cell>
          <cell r="D649" t="str">
            <v>OHADA</v>
          </cell>
          <cell r="E649" t="str">
            <v>473000 -Intermédiaires Opérations faites pour compte de tiers - OHADA</v>
          </cell>
          <cell r="F649">
            <v>473900</v>
          </cell>
          <cell r="G649" t="str">
            <v>0</v>
          </cell>
          <cell r="H649" t="str">
            <v>Asset</v>
          </cell>
          <cell r="I649" t="str">
            <v>Balance Sheet</v>
          </cell>
          <cell r="J649" t="str">
            <v>XAF</v>
          </cell>
          <cell r="K649" t="str">
            <v>Autres créances</v>
          </cell>
        </row>
        <row r="650">
          <cell r="A650" t="str">
            <v>A649</v>
          </cell>
          <cell r="B650" t="str">
            <v>"474000 -Compte de répartition périodique des charges et des produits - OHADA"</v>
          </cell>
          <cell r="C650" t="str">
            <v>474-Compte de répartition périodique des charges et des produits</v>
          </cell>
          <cell r="D650" t="str">
            <v>OHADA</v>
          </cell>
          <cell r="E650" t="str">
            <v>470000 -Débiteurs et créditeurs divers (ACTIF) - OHADA</v>
          </cell>
          <cell r="F650">
            <v>474000</v>
          </cell>
          <cell r="G650" t="str">
            <v>1</v>
          </cell>
          <cell r="H650" t="str">
            <v>Asset</v>
          </cell>
          <cell r="I650" t="str">
            <v>Balance Sheet</v>
          </cell>
          <cell r="J650" t="str">
            <v>XAF</v>
          </cell>
          <cell r="K650" t="str">
            <v>Autres créances</v>
          </cell>
        </row>
        <row r="651">
          <cell r="A651" t="str">
            <v>A650</v>
          </cell>
          <cell r="B651" t="str">
            <v>"474700 - Compte de répartition périodique des produits - OHADA"</v>
          </cell>
          <cell r="C651" t="str">
            <v>Compte de répartition périodique des produits</v>
          </cell>
          <cell r="D651" t="str">
            <v>OHADA</v>
          </cell>
          <cell r="E651" t="str">
            <v>474000 -Compte de répartition périodique des charges et des produits - OHADA</v>
          </cell>
          <cell r="F651">
            <v>474700</v>
          </cell>
          <cell r="G651" t="str">
            <v>0</v>
          </cell>
          <cell r="H651" t="str">
            <v>Asset</v>
          </cell>
          <cell r="I651" t="str">
            <v>Balance Sheet</v>
          </cell>
          <cell r="J651" t="str">
            <v>XAF</v>
          </cell>
          <cell r="K651" t="str">
            <v>Autres créances</v>
          </cell>
        </row>
        <row r="652">
          <cell r="A652" t="str">
            <v>A651</v>
          </cell>
          <cell r="B652" t="str">
            <v>"475000 -Compte transitoire, ajustement spécial lié à la révision du SYSCOHADA - OHADA"</v>
          </cell>
          <cell r="C652" t="str">
            <v>475-Compte transitoire, ajustement spécial lié à la révision du SYSCOHADA</v>
          </cell>
          <cell r="D652" t="str">
            <v>OHADA</v>
          </cell>
          <cell r="E652" t="str">
            <v>470000 -Débiteurs et créditeurs divers (ACTIF) - OHADA</v>
          </cell>
          <cell r="F652">
            <v>475000</v>
          </cell>
          <cell r="G652" t="str">
            <v>1</v>
          </cell>
          <cell r="H652" t="str">
            <v>Asset</v>
          </cell>
          <cell r="I652" t="str">
            <v>Balance Sheet</v>
          </cell>
          <cell r="J652" t="str">
            <v>XAF</v>
          </cell>
          <cell r="K652" t="str">
            <v>Autres créances</v>
          </cell>
        </row>
        <row r="653">
          <cell r="A653" t="str">
            <v>A652</v>
          </cell>
          <cell r="B653" t="str">
            <v>"475100 - Compte actif - OHADA"</v>
          </cell>
          <cell r="C653" t="str">
            <v>Compte actif</v>
          </cell>
          <cell r="D653" t="str">
            <v>OHADA</v>
          </cell>
          <cell r="E653" t="str">
            <v>475000 -Compte transitoire, ajustement spécial lié à la révision du SYSCOHADA - OHADA</v>
          </cell>
          <cell r="F653">
            <v>475100</v>
          </cell>
          <cell r="G653" t="str">
            <v>0</v>
          </cell>
          <cell r="H653" t="str">
            <v>Asset</v>
          </cell>
          <cell r="I653" t="str">
            <v>Balance Sheet</v>
          </cell>
          <cell r="J653" t="str">
            <v>XAF</v>
          </cell>
          <cell r="K653" t="str">
            <v>Autres créances</v>
          </cell>
        </row>
        <row r="654">
          <cell r="A654" t="str">
            <v>A653</v>
          </cell>
          <cell r="B654" t="str">
            <v>"476000 - Charges constatées d’avance - OHADA"</v>
          </cell>
          <cell r="C654" t="str">
            <v>Charges constatées d’avance</v>
          </cell>
          <cell r="D654" t="str">
            <v>OHADA</v>
          </cell>
          <cell r="E654" t="str">
            <v>470000 -Débiteurs et créditeurs divers (ACTIF) - OHADA</v>
          </cell>
          <cell r="F654">
            <v>476000</v>
          </cell>
          <cell r="G654" t="str">
            <v>0</v>
          </cell>
          <cell r="H654" t="str">
            <v>Asset</v>
          </cell>
          <cell r="I654" t="str">
            <v>Balance Sheet</v>
          </cell>
          <cell r="J654" t="str">
            <v>XAF</v>
          </cell>
          <cell r="K654" t="str">
            <v>Autres créances</v>
          </cell>
        </row>
        <row r="655">
          <cell r="A655" t="str">
            <v>A654</v>
          </cell>
          <cell r="B655" t="str">
            <v>"478000 -Écarts de conversion actif - OHADA"</v>
          </cell>
          <cell r="C655" t="str">
            <v>478-Écarts de conversion actif</v>
          </cell>
          <cell r="D655" t="str">
            <v>OHADA</v>
          </cell>
          <cell r="E655" t="str">
            <v>470000 -Débiteurs et créditeurs divers (ACTIF) - OHADA</v>
          </cell>
          <cell r="F655">
            <v>478000</v>
          </cell>
          <cell r="G655" t="str">
            <v>1</v>
          </cell>
          <cell r="H655" t="str">
            <v>Asset</v>
          </cell>
          <cell r="I655" t="str">
            <v>Balance Sheet</v>
          </cell>
          <cell r="J655" t="str">
            <v>XAF</v>
          </cell>
          <cell r="K655" t="str">
            <v>Ecart de conversion - actif  </v>
          </cell>
        </row>
        <row r="656">
          <cell r="A656" t="str">
            <v>A655</v>
          </cell>
          <cell r="B656" t="str">
            <v>"478100 - Diminution des créances d’exploitation - OHADA"</v>
          </cell>
          <cell r="C656" t="str">
            <v>Diminution des créances d’exploitation</v>
          </cell>
          <cell r="D656" t="str">
            <v>OHADA</v>
          </cell>
          <cell r="E656" t="str">
            <v>478000 -Écarts de conversion actif - OHADA</v>
          </cell>
          <cell r="F656">
            <v>478100</v>
          </cell>
          <cell r="G656" t="str">
            <v>0</v>
          </cell>
          <cell r="H656" t="str">
            <v>Asset</v>
          </cell>
          <cell r="I656" t="str">
            <v>Balance Sheet</v>
          </cell>
          <cell r="J656" t="str">
            <v>XAF</v>
          </cell>
          <cell r="K656" t="str">
            <v>Ecart de conversion - actif  </v>
          </cell>
        </row>
        <row r="657">
          <cell r="A657" t="str">
            <v>A656</v>
          </cell>
          <cell r="B657" t="str">
            <v>"478200 - Diminution des créances financières - OHADA"</v>
          </cell>
          <cell r="C657" t="str">
            <v>Diminution des créances financières</v>
          </cell>
          <cell r="D657" t="str">
            <v>OHADA</v>
          </cell>
          <cell r="E657" t="str">
            <v>478000 -Écarts de conversion actif - OHADA</v>
          </cell>
          <cell r="F657">
            <v>478200</v>
          </cell>
          <cell r="G657" t="str">
            <v>0</v>
          </cell>
          <cell r="H657" t="str">
            <v>Asset</v>
          </cell>
          <cell r="I657" t="str">
            <v>Balance Sheet</v>
          </cell>
          <cell r="J657" t="str">
            <v>XAF</v>
          </cell>
          <cell r="K657" t="str">
            <v>Ecart de conversion - actif  </v>
          </cell>
        </row>
        <row r="658">
          <cell r="A658" t="str">
            <v>A657</v>
          </cell>
          <cell r="B658" t="str">
            <v>"478300 - Augmentation des dettes d’exploitation - OHADA"</v>
          </cell>
          <cell r="C658" t="str">
            <v>Augmentation des dettes d’exploitation</v>
          </cell>
          <cell r="D658" t="str">
            <v>OHADA</v>
          </cell>
          <cell r="E658" t="str">
            <v>478000 -Écarts de conversion actif - OHADA</v>
          </cell>
          <cell r="F658">
            <v>478300</v>
          </cell>
          <cell r="G658" t="str">
            <v>0</v>
          </cell>
          <cell r="H658" t="str">
            <v>Asset</v>
          </cell>
          <cell r="I658" t="str">
            <v>Balance Sheet</v>
          </cell>
          <cell r="J658" t="str">
            <v>XAF</v>
          </cell>
          <cell r="K658" t="str">
            <v>Ecart de conversion - actif  </v>
          </cell>
        </row>
        <row r="659">
          <cell r="A659" t="str">
            <v>A658</v>
          </cell>
          <cell r="B659" t="str">
            <v>"478400 - Augmentation des dettes financières - OHADA"</v>
          </cell>
          <cell r="C659" t="str">
            <v>Augmentation des dettes financières</v>
          </cell>
          <cell r="D659" t="str">
            <v>OHADA</v>
          </cell>
          <cell r="E659" t="str">
            <v>478000 -Écarts de conversion actif - OHADA</v>
          </cell>
          <cell r="F659">
            <v>478400</v>
          </cell>
          <cell r="G659" t="str">
            <v>0</v>
          </cell>
          <cell r="H659" t="str">
            <v>Asset</v>
          </cell>
          <cell r="I659" t="str">
            <v>Balance Sheet</v>
          </cell>
          <cell r="J659" t="str">
            <v>XAF</v>
          </cell>
          <cell r="K659" t="str">
            <v>Ecart de conversion - actif  </v>
          </cell>
        </row>
        <row r="660">
          <cell r="A660" t="str">
            <v>A659</v>
          </cell>
          <cell r="B660" t="str">
            <v>"478600 - Différences d’évaluation sur instruments de trésorerie - OHADA"</v>
          </cell>
          <cell r="C660" t="str">
            <v>Différences d’évaluation sur instruments de trésorerie</v>
          </cell>
          <cell r="D660" t="str">
            <v>OHADA</v>
          </cell>
          <cell r="E660" t="str">
            <v>478000 -Écarts de conversion actif - OHADA</v>
          </cell>
          <cell r="F660">
            <v>478600</v>
          </cell>
          <cell r="G660" t="str">
            <v>0</v>
          </cell>
          <cell r="H660" t="str">
            <v>Asset</v>
          </cell>
          <cell r="I660" t="str">
            <v>Balance Sheet</v>
          </cell>
          <cell r="J660" t="str">
            <v>XAF</v>
          </cell>
          <cell r="K660" t="str">
            <v>Ecart de conversion - actif  </v>
          </cell>
        </row>
        <row r="661">
          <cell r="A661" t="str">
            <v>A660</v>
          </cell>
          <cell r="B661" t="str">
            <v>"478800 - Différences compensées par couverture de change - OHADA"</v>
          </cell>
          <cell r="C661" t="str">
            <v>Différences compensées par couverture de change</v>
          </cell>
          <cell r="D661" t="str">
            <v>OHADA</v>
          </cell>
          <cell r="E661" t="str">
            <v>478000 -Écarts de conversion actif - OHADA</v>
          </cell>
          <cell r="F661">
            <v>478800</v>
          </cell>
          <cell r="G661" t="str">
            <v>0</v>
          </cell>
          <cell r="H661" t="str">
            <v>Asset</v>
          </cell>
          <cell r="I661" t="str">
            <v>Balance Sheet</v>
          </cell>
          <cell r="J661" t="str">
            <v>XAF</v>
          </cell>
          <cell r="K661" t="str">
            <v>Ecart de conversion - actif  </v>
          </cell>
        </row>
        <row r="662">
          <cell r="A662" t="str">
            <v>A661</v>
          </cell>
          <cell r="B662" t="str">
            <v>"480000 -Créances et dettes hors activités ordinaires (ACTIF) - OHADA"</v>
          </cell>
          <cell r="C662" t="str">
            <v>48-Créances et dettes hors activités ordinaires (ACTIF)</v>
          </cell>
          <cell r="D662" t="str">
            <v>OHADA</v>
          </cell>
          <cell r="E662" t="str">
            <v>4-Comptes de Tiers (ACTIF) - OHADA</v>
          </cell>
          <cell r="F662">
            <v>480000</v>
          </cell>
          <cell r="G662" t="str">
            <v>1</v>
          </cell>
          <cell r="H662" t="str">
            <v>Asset</v>
          </cell>
          <cell r="I662" t="str">
            <v>Balance Sheet</v>
          </cell>
          <cell r="J662" t="str">
            <v>XAF</v>
          </cell>
          <cell r="K662" t="str">
            <v>Actif circulant H.A.O</v>
          </cell>
        </row>
        <row r="663">
          <cell r="A663" t="str">
            <v>A662</v>
          </cell>
          <cell r="B663" t="str">
            <v>"485000 - Créances sur cessions d’immobilisations - OHADA"</v>
          </cell>
          <cell r="C663" t="str">
            <v>Créances sur cessions d’immobilisations</v>
          </cell>
          <cell r="D663" t="str">
            <v>OHADA</v>
          </cell>
          <cell r="E663" t="str">
            <v>480000 -Créances et dettes hors activités ordinaires (ACTIF) - OHADA</v>
          </cell>
          <cell r="F663">
            <v>485000</v>
          </cell>
          <cell r="G663" t="str">
            <v>1</v>
          </cell>
          <cell r="H663" t="str">
            <v>Asset</v>
          </cell>
          <cell r="I663" t="str">
            <v>Balance Sheet</v>
          </cell>
          <cell r="J663" t="str">
            <v>XAF</v>
          </cell>
          <cell r="K663" t="str">
            <v>Actif circulant H.A.O</v>
          </cell>
        </row>
        <row r="664">
          <cell r="A664" t="str">
            <v>A663</v>
          </cell>
          <cell r="B664" t="str">
            <v>"485100 - En compte, immobilisations incorporelles - OHADA"</v>
          </cell>
          <cell r="C664" t="str">
            <v>En compte, immobilisations incorporelles</v>
          </cell>
          <cell r="D664" t="str">
            <v>OHADA</v>
          </cell>
          <cell r="E664" t="str">
            <v>485000 - Créances sur cessions d’immobilisations - OHADA</v>
          </cell>
          <cell r="F664">
            <v>485100</v>
          </cell>
          <cell r="G664" t="str">
            <v>0</v>
          </cell>
          <cell r="H664" t="str">
            <v>Asset</v>
          </cell>
          <cell r="I664" t="str">
            <v>Balance Sheet</v>
          </cell>
          <cell r="J664" t="str">
            <v>XAF</v>
          </cell>
          <cell r="K664" t="str">
            <v>Actif circulant H.A.O</v>
          </cell>
        </row>
        <row r="665">
          <cell r="A665" t="str">
            <v>A664</v>
          </cell>
          <cell r="B665" t="str">
            <v>"485200 - En compte, immobilisations corporelles - OHADA"</v>
          </cell>
          <cell r="C665" t="str">
            <v>En compte, immobilisations corporelles</v>
          </cell>
          <cell r="D665" t="str">
            <v>OHADA</v>
          </cell>
          <cell r="E665" t="str">
            <v>485000 - Créances sur cessions d’immobilisations - OHADA</v>
          </cell>
          <cell r="F665">
            <v>485200</v>
          </cell>
          <cell r="G665" t="str">
            <v>0</v>
          </cell>
          <cell r="H665" t="str">
            <v>Asset</v>
          </cell>
          <cell r="I665" t="str">
            <v>Balance Sheet</v>
          </cell>
          <cell r="J665" t="str">
            <v>XAF</v>
          </cell>
          <cell r="K665" t="str">
            <v>Actif circulant H.A.O</v>
          </cell>
        </row>
        <row r="666">
          <cell r="A666" t="str">
            <v>A665</v>
          </cell>
          <cell r="B666" t="str">
            <v>"485300 - Effets à recevoir, immobilisations incorporelles - OHADA"</v>
          </cell>
          <cell r="C666" t="str">
            <v>Effets à recevoir, immobilisations incorporelles</v>
          </cell>
          <cell r="D666" t="str">
            <v>OHADA</v>
          </cell>
          <cell r="E666" t="str">
            <v>485000 - Créances sur cessions d’immobilisations - OHADA</v>
          </cell>
          <cell r="F666">
            <v>485300</v>
          </cell>
          <cell r="G666" t="str">
            <v>0</v>
          </cell>
          <cell r="H666" t="str">
            <v>Asset</v>
          </cell>
          <cell r="I666" t="str">
            <v>Balance Sheet</v>
          </cell>
          <cell r="J666" t="str">
            <v>XAF</v>
          </cell>
          <cell r="K666" t="str">
            <v>Actif circulant H.A.O</v>
          </cell>
        </row>
        <row r="667">
          <cell r="A667" t="str">
            <v>A666</v>
          </cell>
          <cell r="B667" t="str">
            <v>"485400 - Effets à recevoir, immobilisations corporelles - OHADA"</v>
          </cell>
          <cell r="C667" t="str">
            <v>Effets à recevoir, immobilisations corporelles</v>
          </cell>
          <cell r="D667" t="str">
            <v>OHADA</v>
          </cell>
          <cell r="E667" t="str">
            <v>485000 - Créances sur cessions d’immobilisations - OHADA</v>
          </cell>
          <cell r="F667">
            <v>485400</v>
          </cell>
          <cell r="G667" t="str">
            <v>0</v>
          </cell>
          <cell r="H667" t="str">
            <v>Asset</v>
          </cell>
          <cell r="I667" t="str">
            <v>Balance Sheet</v>
          </cell>
          <cell r="J667" t="str">
            <v>XAF</v>
          </cell>
          <cell r="K667" t="str">
            <v>Actif circulant H.A.O</v>
          </cell>
        </row>
        <row r="668">
          <cell r="A668" t="str">
            <v>A667</v>
          </cell>
          <cell r="B668" t="str">
            <v>"485500 - Effets escomptés non échus - OHADA"</v>
          </cell>
          <cell r="C668" t="str">
            <v>Effets escomptés non échus</v>
          </cell>
          <cell r="D668" t="str">
            <v>OHADA</v>
          </cell>
          <cell r="E668" t="str">
            <v>485000 - Créances sur cessions d’immobilisations - OHADA</v>
          </cell>
          <cell r="F668">
            <v>485500</v>
          </cell>
          <cell r="G668" t="str">
            <v>0</v>
          </cell>
          <cell r="H668" t="str">
            <v>Asset</v>
          </cell>
          <cell r="I668" t="str">
            <v>Balance Sheet</v>
          </cell>
          <cell r="J668" t="str">
            <v>XAF</v>
          </cell>
          <cell r="K668" t="str">
            <v>Actif circulant H.A.O</v>
          </cell>
        </row>
        <row r="669">
          <cell r="A669" t="str">
            <v>A668</v>
          </cell>
          <cell r="B669" t="str">
            <v>"485700 - Retenues de garantie - OHADA"</v>
          </cell>
          <cell r="C669" t="str">
            <v>Retenues de garantie</v>
          </cell>
          <cell r="D669" t="str">
            <v>OHADA</v>
          </cell>
          <cell r="E669" t="str">
            <v>485000 - Créances sur cessions d’immobilisations - OHADA</v>
          </cell>
          <cell r="F669">
            <v>485700</v>
          </cell>
          <cell r="G669" t="str">
            <v>0</v>
          </cell>
          <cell r="H669" t="str">
            <v>Asset</v>
          </cell>
          <cell r="I669" t="str">
            <v>Balance Sheet</v>
          </cell>
          <cell r="J669" t="str">
            <v>XAF</v>
          </cell>
          <cell r="K669" t="str">
            <v>Actif circulant H.A.O</v>
          </cell>
        </row>
        <row r="670">
          <cell r="A670" t="str">
            <v>A669</v>
          </cell>
          <cell r="B670" t="str">
            <v>"485800 - Factures à établir - OHADA"</v>
          </cell>
          <cell r="C670" t="str">
            <v>Factures à établir</v>
          </cell>
          <cell r="D670" t="str">
            <v>OHADA</v>
          </cell>
          <cell r="E670" t="str">
            <v>485000 - Créances sur cessions d’immobilisations - OHADA</v>
          </cell>
          <cell r="F670">
            <v>485800</v>
          </cell>
          <cell r="G670" t="str">
            <v>0</v>
          </cell>
          <cell r="H670" t="str">
            <v>Asset</v>
          </cell>
          <cell r="I670" t="str">
            <v>Balance Sheet</v>
          </cell>
          <cell r="J670" t="str">
            <v>XAF</v>
          </cell>
          <cell r="K670" t="str">
            <v>Actif circulant H.A.O</v>
          </cell>
        </row>
        <row r="671">
          <cell r="A671" t="str">
            <v>A670</v>
          </cell>
          <cell r="B671" t="str">
            <v>"488000 - Autres créances hors activités ordinaires (HAO) - OHADA"</v>
          </cell>
          <cell r="C671" t="str">
            <v>Autres créances hors activités ordinaires (HAO)</v>
          </cell>
          <cell r="D671" t="str">
            <v>OHADA</v>
          </cell>
          <cell r="E671" t="str">
            <v>480000 -Créances et dettes hors activités ordinaires (ACTIF) - OHADA</v>
          </cell>
          <cell r="F671">
            <v>488000</v>
          </cell>
          <cell r="G671" t="str">
            <v>0</v>
          </cell>
          <cell r="H671" t="str">
            <v>Asset</v>
          </cell>
          <cell r="I671" t="str">
            <v>Balance Sheet</v>
          </cell>
          <cell r="J671" t="str">
            <v>XAF</v>
          </cell>
          <cell r="K671" t="str">
            <v>Actif circulant H.A.O</v>
          </cell>
        </row>
        <row r="672">
          <cell r="A672" t="str">
            <v>A671</v>
          </cell>
          <cell r="B672" t="str">
            <v>"490000 -Dépréciations et provisions pour risques à court terme (tiers) (ACTIF) - OHADA"</v>
          </cell>
          <cell r="C672" t="str">
            <v>49-Dépréciations et provisions pour risques à court terme (tiers) (ACTIF)</v>
          </cell>
          <cell r="D672" t="str">
            <v>OHADA</v>
          </cell>
          <cell r="E672" t="str">
            <v>4-Comptes de Tiers (ACTIF) - OHADA</v>
          </cell>
          <cell r="F672">
            <v>490000</v>
          </cell>
          <cell r="G672" t="str">
            <v>1</v>
          </cell>
          <cell r="H672" t="str">
            <v>Asset</v>
          </cell>
          <cell r="I672" t="str">
            <v>Balance Sheet</v>
          </cell>
          <cell r="J672" t="str">
            <v>XAF</v>
          </cell>
        </row>
        <row r="673">
          <cell r="A673" t="str">
            <v>A672</v>
          </cell>
          <cell r="B673" t="str">
            <v>"491000 - Dépréciations des comptes clients - OHADA"</v>
          </cell>
          <cell r="C673" t="str">
            <v>Dépréciations des comptes clients</v>
          </cell>
          <cell r="D673" t="str">
            <v>OHADA</v>
          </cell>
          <cell r="E673" t="str">
            <v>490000 -Dépréciations et provisions pour risques à court terme (tiers) (ACTIF) - OHADA</v>
          </cell>
          <cell r="F673">
            <v>491000</v>
          </cell>
          <cell r="G673" t="str">
            <v>1</v>
          </cell>
          <cell r="H673" t="str">
            <v>Asset</v>
          </cell>
          <cell r="I673" t="str">
            <v>Balance Sheet</v>
          </cell>
          <cell r="J673" t="str">
            <v>XAF</v>
          </cell>
          <cell r="K673" t="str">
            <v>Dépréciations des clients </v>
          </cell>
        </row>
        <row r="674">
          <cell r="A674" t="str">
            <v>A673</v>
          </cell>
          <cell r="B674" t="str">
            <v>"491100 - Créances litigieuses - OHADA"</v>
          </cell>
          <cell r="C674" t="str">
            <v>Créances litigieuses</v>
          </cell>
          <cell r="D674" t="str">
            <v>OHADA</v>
          </cell>
          <cell r="E674" t="str">
            <v>491000 - Dépréciations des comptes clients - OHADA</v>
          </cell>
          <cell r="F674">
            <v>491100</v>
          </cell>
          <cell r="G674" t="str">
            <v>0</v>
          </cell>
          <cell r="H674" t="str">
            <v>Asset</v>
          </cell>
          <cell r="I674" t="str">
            <v>Balance Sheet</v>
          </cell>
          <cell r="J674" t="str">
            <v>XAF</v>
          </cell>
          <cell r="K674" t="str">
            <v>Dépréciations des clients </v>
          </cell>
        </row>
        <row r="675">
          <cell r="A675" t="str">
            <v>A674</v>
          </cell>
          <cell r="B675" t="str">
            <v>"491200 - Créances douteuses - OHADA"</v>
          </cell>
          <cell r="C675" t="str">
            <v>Créances douteuses</v>
          </cell>
          <cell r="D675" t="str">
            <v>OHADA</v>
          </cell>
          <cell r="E675" t="str">
            <v>491000 - Dépréciations des comptes clients - OHADA</v>
          </cell>
          <cell r="F675">
            <v>491200</v>
          </cell>
          <cell r="G675" t="str">
            <v>0</v>
          </cell>
          <cell r="H675" t="str">
            <v>Asset</v>
          </cell>
          <cell r="I675" t="str">
            <v>Balance Sheet</v>
          </cell>
          <cell r="J675" t="str">
            <v>XAF</v>
          </cell>
          <cell r="K675" t="str">
            <v>Dépréciations des clients </v>
          </cell>
        </row>
        <row r="676">
          <cell r="A676" t="str">
            <v>A675</v>
          </cell>
          <cell r="B676" t="str">
            <v>"495000 - Dépréciations des comptes organismes internationaux - OHADA"</v>
          </cell>
          <cell r="C676" t="str">
            <v>Dépréciations des comptes organismes internationaux</v>
          </cell>
          <cell r="D676" t="str">
            <v>OHADA</v>
          </cell>
          <cell r="E676" t="str">
            <v>490000 -Dépréciations et provisions pour risques à court terme (tiers) (ACTIF) - OHADA</v>
          </cell>
          <cell r="F676">
            <v>495000</v>
          </cell>
          <cell r="G676" t="str">
            <v>0</v>
          </cell>
          <cell r="H676" t="str">
            <v>Asset</v>
          </cell>
          <cell r="I676" t="str">
            <v>Balance Sheet</v>
          </cell>
          <cell r="J676" t="str">
            <v>XAF</v>
          </cell>
          <cell r="K676" t="str">
            <v>Dépréciations des autres créances</v>
          </cell>
        </row>
        <row r="677">
          <cell r="A677" t="str">
            <v>A676</v>
          </cell>
          <cell r="B677" t="str">
            <v>"496000 - Dépréciations des comptes apporteurs, associés et groupe - OHADA"</v>
          </cell>
          <cell r="C677" t="str">
            <v>Dépréciations des comptes apporteurs, associés et groupe</v>
          </cell>
          <cell r="D677" t="str">
            <v>OHADA</v>
          </cell>
          <cell r="E677" t="str">
            <v>490000 -Dépréciations et provisions pour risques à court terme (tiers) (ACTIF) - OHADA</v>
          </cell>
          <cell r="F677">
            <v>496000</v>
          </cell>
          <cell r="G677" t="str">
            <v>1</v>
          </cell>
          <cell r="H677" t="str">
            <v>Asset</v>
          </cell>
          <cell r="I677" t="str">
            <v>Balance Sheet</v>
          </cell>
          <cell r="J677" t="str">
            <v>XAF</v>
          </cell>
          <cell r="K677" t="str">
            <v>Dépréciations des autres créances</v>
          </cell>
        </row>
        <row r="678">
          <cell r="A678" t="str">
            <v>A677</v>
          </cell>
          <cell r="B678" t="str">
            <v>"496200 - Associés, comptes courants - OHADA"</v>
          </cell>
          <cell r="C678" t="str">
            <v>Associés, comptes courants</v>
          </cell>
          <cell r="D678" t="str">
            <v>OHADA</v>
          </cell>
          <cell r="E678" t="str">
            <v>496000 - Dépréciations des comptes apporteurs, associés et groupe - OHADA</v>
          </cell>
          <cell r="F678">
            <v>496200</v>
          </cell>
          <cell r="G678" t="str">
            <v>0</v>
          </cell>
          <cell r="H678" t="str">
            <v>Asset</v>
          </cell>
          <cell r="I678" t="str">
            <v>Balance Sheet</v>
          </cell>
          <cell r="J678" t="str">
            <v>XAF</v>
          </cell>
          <cell r="K678" t="str">
            <v>Dépréciations des autres créances</v>
          </cell>
        </row>
        <row r="679">
          <cell r="A679" t="str">
            <v>A678</v>
          </cell>
          <cell r="B679" t="str">
            <v>"496300 - Associés, opérations faites en commun - OHADA"</v>
          </cell>
          <cell r="C679" t="str">
            <v>Associés, opérations faites en commun</v>
          </cell>
          <cell r="D679" t="str">
            <v>OHADA</v>
          </cell>
          <cell r="E679" t="str">
            <v>496000 - Dépréciations des comptes apporteurs, associés et groupe - OHADA</v>
          </cell>
          <cell r="F679">
            <v>496300</v>
          </cell>
          <cell r="G679" t="str">
            <v>0</v>
          </cell>
          <cell r="H679" t="str">
            <v>Asset</v>
          </cell>
          <cell r="I679" t="str">
            <v>Balance Sheet</v>
          </cell>
          <cell r="J679" t="str">
            <v>XAF</v>
          </cell>
          <cell r="K679" t="str">
            <v>Dépréciations des autres créances</v>
          </cell>
        </row>
        <row r="680">
          <cell r="A680" t="str">
            <v>A679</v>
          </cell>
          <cell r="B680" t="str">
            <v>"496600 - Groupe, comptes courants - OHADA"</v>
          </cell>
          <cell r="C680" t="str">
            <v>Groupe, comptes courants</v>
          </cell>
          <cell r="D680" t="str">
            <v>OHADA</v>
          </cell>
          <cell r="E680" t="str">
            <v>496000 - Dépréciations des comptes apporteurs, associés et groupe - OHADA</v>
          </cell>
          <cell r="F680">
            <v>496600</v>
          </cell>
          <cell r="G680" t="str">
            <v>0</v>
          </cell>
          <cell r="H680" t="str">
            <v>Asset</v>
          </cell>
          <cell r="I680" t="str">
            <v>Balance Sheet</v>
          </cell>
          <cell r="J680" t="str">
            <v>XAF</v>
          </cell>
          <cell r="K680" t="str">
            <v>Dépréciations des autres créances</v>
          </cell>
        </row>
        <row r="681">
          <cell r="A681" t="str">
            <v>A680</v>
          </cell>
          <cell r="B681" t="str">
            <v>"497000 - Dépréciations des comptes débiteurs divers - OHADA"</v>
          </cell>
          <cell r="C681" t="str">
            <v>Dépréciations des comptes débiteurs divers</v>
          </cell>
          <cell r="D681" t="str">
            <v>OHADA</v>
          </cell>
          <cell r="E681" t="str">
            <v>490000 -Dépréciations et provisions pour risques à court terme (tiers) (ACTIF) - OHADA</v>
          </cell>
          <cell r="F681">
            <v>497000</v>
          </cell>
          <cell r="G681" t="str">
            <v>0</v>
          </cell>
          <cell r="H681" t="str">
            <v>Asset</v>
          </cell>
          <cell r="I681" t="str">
            <v>Balance Sheet</v>
          </cell>
          <cell r="J681" t="str">
            <v>XAF</v>
          </cell>
          <cell r="K681" t="str">
            <v>Dépréciations des autres créances</v>
          </cell>
        </row>
        <row r="682">
          <cell r="A682" t="str">
            <v>A681</v>
          </cell>
          <cell r="B682" t="str">
            <v>"498000 - Dépréciations des comptes de créances HAO - OHADA"</v>
          </cell>
          <cell r="C682" t="str">
            <v>Dépréciations des comptes de créances HAO</v>
          </cell>
          <cell r="D682" t="str">
            <v>OHADA</v>
          </cell>
          <cell r="E682" t="str">
            <v>490000 -Dépréciations et provisions pour risques à court terme (tiers) (ACTIF) - OHADA</v>
          </cell>
          <cell r="F682">
            <v>498000</v>
          </cell>
          <cell r="G682" t="str">
            <v>1</v>
          </cell>
          <cell r="H682" t="str">
            <v>Asset</v>
          </cell>
          <cell r="I682" t="str">
            <v>Balance Sheet</v>
          </cell>
          <cell r="J682" t="str">
            <v>XAF</v>
          </cell>
          <cell r="K682" t="str">
            <v>Dépréciations des créances HAO</v>
          </cell>
        </row>
        <row r="683">
          <cell r="A683" t="str">
            <v>A682</v>
          </cell>
          <cell r="B683" t="str">
            <v>"498500 - Créances sur cessions d’immobilisations - OHADA"</v>
          </cell>
          <cell r="C683" t="str">
            <v>Créances sur cessions d’immobilisations</v>
          </cell>
          <cell r="D683" t="str">
            <v>OHADA</v>
          </cell>
          <cell r="E683" t="str">
            <v>498000 - Dépréciations des comptes de créances HAO - OHADA</v>
          </cell>
          <cell r="F683">
            <v>498500</v>
          </cell>
          <cell r="G683" t="str">
            <v>0</v>
          </cell>
          <cell r="H683" t="str">
            <v>Asset</v>
          </cell>
          <cell r="I683" t="str">
            <v>Balance Sheet</v>
          </cell>
          <cell r="J683" t="str">
            <v>XAF</v>
          </cell>
          <cell r="K683" t="str">
            <v>Dépréciations des créances HAO</v>
          </cell>
        </row>
        <row r="684">
          <cell r="A684" t="str">
            <v>A683</v>
          </cell>
          <cell r="B684" t="str">
            <v>"498600 - Créances sur cessions de titres de placement - OHADA"</v>
          </cell>
          <cell r="C684" t="str">
            <v>Créances sur cessions de titres de placement</v>
          </cell>
          <cell r="D684" t="str">
            <v>OHADA</v>
          </cell>
          <cell r="E684" t="str">
            <v>498000 - Dépréciations des comptes de créances HAO - OHADA</v>
          </cell>
          <cell r="F684">
            <v>498600</v>
          </cell>
          <cell r="G684" t="str">
            <v>0</v>
          </cell>
          <cell r="H684" t="str">
            <v>Asset</v>
          </cell>
          <cell r="I684" t="str">
            <v>Balance Sheet</v>
          </cell>
          <cell r="J684" t="str">
            <v>XAF</v>
          </cell>
          <cell r="K684" t="str">
            <v>Dépréciations des créances HAO</v>
          </cell>
        </row>
        <row r="685">
          <cell r="A685" t="str">
            <v>A684</v>
          </cell>
          <cell r="B685" t="str">
            <v>"498800 - Autres créances HAO - OHADA"</v>
          </cell>
          <cell r="C685" t="str">
            <v>Autres créances HAO</v>
          </cell>
          <cell r="D685" t="str">
            <v>OHADA</v>
          </cell>
          <cell r="E685" t="str">
            <v>498000 - Dépréciations des comptes de créances HAO - OHADA</v>
          </cell>
          <cell r="F685">
            <v>498800</v>
          </cell>
          <cell r="G685" t="str">
            <v>0</v>
          </cell>
          <cell r="H685" t="str">
            <v>Asset</v>
          </cell>
          <cell r="I685" t="str">
            <v>Balance Sheet</v>
          </cell>
          <cell r="J685" t="str">
            <v>XAF</v>
          </cell>
          <cell r="K685" t="str">
            <v>Dépréciations des créances HAO</v>
          </cell>
        </row>
        <row r="686">
          <cell r="A686" t="str">
            <v>A685</v>
          </cell>
          <cell r="B686" t="str">
            <v>"499000 - Provisions pour risques à court terme - OHADA"</v>
          </cell>
          <cell r="C686" t="str">
            <v>Provisions pour risques à court terme</v>
          </cell>
          <cell r="D686" t="str">
            <v>OHADA</v>
          </cell>
          <cell r="E686" t="str">
            <v>490000 -Dépréciations et provisions pour risques à court terme (tiers) (ACTIF) - OHADA</v>
          </cell>
          <cell r="F686">
            <v>499000</v>
          </cell>
          <cell r="G686" t="str">
            <v>1</v>
          </cell>
          <cell r="H686" t="str">
            <v>Asset</v>
          </cell>
          <cell r="I686" t="str">
            <v>Balance Sheet</v>
          </cell>
          <cell r="J686" t="str">
            <v>XAF</v>
          </cell>
          <cell r="K686" t="str">
            <v>Provisions pour risques et charges CT</v>
          </cell>
        </row>
        <row r="687">
          <cell r="A687" t="str">
            <v>A686</v>
          </cell>
          <cell r="B687" t="str">
            <v>"499100 - Sur opérations d’exploitation - OHADA"</v>
          </cell>
          <cell r="C687" t="str">
            <v>Sur opérations d’exploitation</v>
          </cell>
          <cell r="D687" t="str">
            <v>OHADA</v>
          </cell>
          <cell r="E687" t="str">
            <v>499000 - Provisions pour risques à court terme - OHADA</v>
          </cell>
          <cell r="F687">
            <v>499100</v>
          </cell>
          <cell r="G687" t="str">
            <v>0</v>
          </cell>
          <cell r="H687" t="str">
            <v>Asset</v>
          </cell>
          <cell r="I687" t="str">
            <v>Balance Sheet</v>
          </cell>
          <cell r="J687" t="str">
            <v>XAF</v>
          </cell>
          <cell r="K687" t="str">
            <v>Provisions pour risques et charges CT</v>
          </cell>
        </row>
        <row r="688">
          <cell r="A688" t="str">
            <v>A687</v>
          </cell>
          <cell r="B688" t="str">
            <v>"499700 - Sur opérations financières - OHADA"</v>
          </cell>
          <cell r="C688" t="str">
            <v>Sur opérations financières</v>
          </cell>
          <cell r="D688" t="str">
            <v>OHADA</v>
          </cell>
          <cell r="E688" t="str">
            <v>499000 - Provisions pour risques à court terme - OHADA</v>
          </cell>
          <cell r="F688">
            <v>499700</v>
          </cell>
          <cell r="G688" t="str">
            <v>0</v>
          </cell>
          <cell r="H688" t="str">
            <v>Asset</v>
          </cell>
          <cell r="I688" t="str">
            <v>Balance Sheet</v>
          </cell>
          <cell r="J688" t="str">
            <v>XAF</v>
          </cell>
          <cell r="K688" t="str">
            <v>Provisions pour risques et charges CT</v>
          </cell>
        </row>
        <row r="689">
          <cell r="A689" t="str">
            <v>A688</v>
          </cell>
          <cell r="B689" t="str">
            <v>"499800 - Sur opérations HAO - OHADA"</v>
          </cell>
          <cell r="C689" t="str">
            <v>Sur opérations HAO</v>
          </cell>
          <cell r="D689" t="str">
            <v>OHADA</v>
          </cell>
          <cell r="E689" t="str">
            <v>499000 - Provisions pour risques à court terme - OHADA</v>
          </cell>
          <cell r="F689">
            <v>499800</v>
          </cell>
          <cell r="G689" t="str">
            <v>0</v>
          </cell>
          <cell r="H689" t="str">
            <v>Asset</v>
          </cell>
          <cell r="I689" t="str">
            <v>Balance Sheet</v>
          </cell>
          <cell r="J689" t="str">
            <v>XAF</v>
          </cell>
          <cell r="K689" t="str">
            <v>Provisions pour risques et charges CT</v>
          </cell>
        </row>
        <row r="690">
          <cell r="A690" t="str">
            <v>A689</v>
          </cell>
          <cell r="B690" t="str">
            <v>4 - Comptes de Tiers (PASSIF)  -  OHADA</v>
          </cell>
          <cell r="C690" t="str">
            <v>4-Comptes de Tiers (PASSIF)</v>
          </cell>
          <cell r="D690" t="str">
            <v>OHADA</v>
          </cell>
          <cell r="G690" t="str">
            <v>1</v>
          </cell>
          <cell r="H690" t="str">
            <v>Liability</v>
          </cell>
          <cell r="I690" t="str">
            <v>Balance Sheet</v>
          </cell>
          <cell r="J690" t="str">
            <v>XAF</v>
          </cell>
        </row>
        <row r="691">
          <cell r="A691" t="str">
            <v>A690</v>
          </cell>
          <cell r="B691" t="str">
            <v>"400000 -Fournisseurs et comptes rattachés (PASSIF) - OHADA"</v>
          </cell>
          <cell r="C691" t="str">
            <v>40-Fournisseurs et comptes rattachés (PASSIF)</v>
          </cell>
          <cell r="D691" t="str">
            <v>OHADA</v>
          </cell>
          <cell r="E691" t="str">
            <v>4-Comptes de Tiers (PASSIF) - OHADA</v>
          </cell>
          <cell r="F691">
            <v>400000</v>
          </cell>
          <cell r="G691" t="str">
            <v>1</v>
          </cell>
          <cell r="H691" t="str">
            <v>Liability</v>
          </cell>
          <cell r="I691" t="str">
            <v>Balance Sheet</v>
          </cell>
          <cell r="J691" t="str">
            <v>XAF</v>
          </cell>
          <cell r="K691" t="str">
            <v>Fournisseurs d'exploitation</v>
          </cell>
        </row>
        <row r="692">
          <cell r="A692" t="str">
            <v>A691</v>
          </cell>
          <cell r="B692" t="str">
            <v>"401000 - Fournisseurs, dettes en compte - OHADA"</v>
          </cell>
          <cell r="C692" t="str">
            <v>Fournisseurs, dettes en compte</v>
          </cell>
          <cell r="D692" t="str">
            <v>OHADA</v>
          </cell>
          <cell r="E692" t="str">
            <v>400000 -Fournisseurs et comptes rattachés (PASSIF) - OHADA</v>
          </cell>
          <cell r="F692">
            <v>401000</v>
          </cell>
          <cell r="G692" t="str">
            <v>1</v>
          </cell>
          <cell r="H692" t="str">
            <v>Liability</v>
          </cell>
          <cell r="I692" t="str">
            <v>Balance Sheet</v>
          </cell>
          <cell r="J692" t="str">
            <v>XAF</v>
          </cell>
          <cell r="K692" t="str">
            <v>Fournisseurs d'exploitation</v>
          </cell>
        </row>
        <row r="693">
          <cell r="A693" t="str">
            <v>A692</v>
          </cell>
          <cell r="B693" t="str">
            <v>"401100 - Fournisseurs - OHADA"</v>
          </cell>
          <cell r="C693" t="str">
            <v>Fournisseurs</v>
          </cell>
          <cell r="D693" t="str">
            <v>OHADA</v>
          </cell>
          <cell r="E693" t="str">
            <v>401000 - Fournisseurs, dettes en compte - OHADA</v>
          </cell>
          <cell r="F693">
            <v>401100</v>
          </cell>
          <cell r="G693" t="str">
            <v>0</v>
          </cell>
          <cell r="H693" t="str">
            <v>Liability</v>
          </cell>
          <cell r="I693" t="str">
            <v>Balance Sheet</v>
          </cell>
          <cell r="J693" t="str">
            <v>XAF</v>
          </cell>
          <cell r="K693" t="str">
            <v>Fournisseurs d'exploitation</v>
          </cell>
        </row>
        <row r="694">
          <cell r="A694" t="str">
            <v>A693</v>
          </cell>
          <cell r="B694" t="str">
            <v>"401200 - Fournisseurs groupe - OHADA"</v>
          </cell>
          <cell r="C694" t="str">
            <v>Fournisseurs groupe</v>
          </cell>
          <cell r="D694" t="str">
            <v>OHADA</v>
          </cell>
          <cell r="E694" t="str">
            <v>401000 - Fournisseurs, dettes en compte - OHADA</v>
          </cell>
          <cell r="F694">
            <v>401200</v>
          </cell>
          <cell r="G694" t="str">
            <v>0</v>
          </cell>
          <cell r="H694" t="str">
            <v>Liability</v>
          </cell>
          <cell r="I694" t="str">
            <v>Balance Sheet</v>
          </cell>
          <cell r="J694" t="str">
            <v>XAF</v>
          </cell>
          <cell r="K694" t="str">
            <v>Fournisseurs d'exploitation</v>
          </cell>
        </row>
        <row r="695">
          <cell r="A695" t="str">
            <v>A694</v>
          </cell>
          <cell r="B695" t="str">
            <v>"401300 - Fournisseurs sous - traitants - OHADA"</v>
          </cell>
          <cell r="C695" t="str">
            <v>Fournisseurs sous-traitants</v>
          </cell>
          <cell r="D695" t="str">
            <v>OHADA</v>
          </cell>
          <cell r="E695" t="str">
            <v>401000 - Fournisseurs, dettes en compte - OHADA</v>
          </cell>
          <cell r="F695">
            <v>401300</v>
          </cell>
          <cell r="G695" t="str">
            <v>0</v>
          </cell>
          <cell r="H695" t="str">
            <v>Liability</v>
          </cell>
          <cell r="I695" t="str">
            <v>Balance Sheet</v>
          </cell>
          <cell r="J695" t="str">
            <v>XAF</v>
          </cell>
          <cell r="K695" t="str">
            <v>Fournisseurs d'exploitation</v>
          </cell>
        </row>
        <row r="696">
          <cell r="A696" t="str">
            <v>A695</v>
          </cell>
          <cell r="B696" t="str">
            <v>"401600 - Fournisseurs, réserve de propriété - OHADA"</v>
          </cell>
          <cell r="C696" t="str">
            <v>Fournisseurs, réserve de propriété</v>
          </cell>
          <cell r="D696" t="str">
            <v>OHADA</v>
          </cell>
          <cell r="E696" t="str">
            <v>401000 - Fournisseurs, dettes en compte - OHADA</v>
          </cell>
          <cell r="F696">
            <v>401600</v>
          </cell>
          <cell r="G696" t="str">
            <v>0</v>
          </cell>
          <cell r="H696" t="str">
            <v>Liability</v>
          </cell>
          <cell r="I696" t="str">
            <v>Balance Sheet</v>
          </cell>
          <cell r="J696" t="str">
            <v>XAF</v>
          </cell>
          <cell r="K696" t="str">
            <v>Fournisseurs d'exploitation</v>
          </cell>
        </row>
        <row r="697">
          <cell r="A697" t="str">
            <v>A696</v>
          </cell>
          <cell r="B697" t="str">
            <v>"401700 - Fournisseur, retenues de garantie - OHADA"</v>
          </cell>
          <cell r="C697" t="str">
            <v>Fournisseur, retenues de garantie</v>
          </cell>
          <cell r="D697" t="str">
            <v>OHADA</v>
          </cell>
          <cell r="E697" t="str">
            <v>401000 - Fournisseurs, dettes en compte - OHADA</v>
          </cell>
          <cell r="F697">
            <v>401700</v>
          </cell>
          <cell r="G697" t="str">
            <v>0</v>
          </cell>
          <cell r="H697" t="str">
            <v>Liability</v>
          </cell>
          <cell r="I697" t="str">
            <v>Balance Sheet</v>
          </cell>
          <cell r="J697" t="str">
            <v>XAF</v>
          </cell>
          <cell r="K697" t="str">
            <v>Fournisseurs d'exploitation</v>
          </cell>
        </row>
        <row r="698">
          <cell r="A698" t="str">
            <v>A697</v>
          </cell>
          <cell r="B698" t="str">
            <v>"402000 - Fournisseurs, effets à payer - OHADA"</v>
          </cell>
          <cell r="C698" t="str">
            <v>Fournisseurs, effets à payer</v>
          </cell>
          <cell r="D698" t="str">
            <v>OHADA</v>
          </cell>
          <cell r="E698" t="str">
            <v>400000 -Fournisseurs et comptes rattachés (PASSIF) - OHADA</v>
          </cell>
          <cell r="F698">
            <v>402000</v>
          </cell>
          <cell r="G698" t="str">
            <v>1</v>
          </cell>
          <cell r="H698" t="str">
            <v>Liability</v>
          </cell>
          <cell r="I698" t="str">
            <v>Balance Sheet</v>
          </cell>
          <cell r="J698" t="str">
            <v>XAF</v>
          </cell>
          <cell r="K698" t="str">
            <v>Fournisseurs d'exploitation</v>
          </cell>
        </row>
        <row r="699">
          <cell r="A699" t="str">
            <v>A698</v>
          </cell>
          <cell r="B699" t="str">
            <v>"402100 - Fournisseurs Effets à payer - OHADA"</v>
          </cell>
          <cell r="C699" t="str">
            <v>Fournisseurs Effets à payer</v>
          </cell>
          <cell r="D699" t="str">
            <v>OHADA</v>
          </cell>
          <cell r="E699" t="str">
            <v>402000 - Fournisseurs, effets à payer - OHADA</v>
          </cell>
          <cell r="F699">
            <v>402100</v>
          </cell>
          <cell r="G699" t="str">
            <v>0</v>
          </cell>
          <cell r="H699" t="str">
            <v>Liability</v>
          </cell>
          <cell r="I699" t="str">
            <v>Balance Sheet</v>
          </cell>
          <cell r="J699" t="str">
            <v>XAF</v>
          </cell>
          <cell r="K699" t="str">
            <v>Fournisseurs d'exploitation</v>
          </cell>
        </row>
        <row r="700">
          <cell r="A700" t="str">
            <v>A699</v>
          </cell>
          <cell r="B700" t="str">
            <v>"402200 - Fournisseurs Groupe, effets à payer - OHADA"</v>
          </cell>
          <cell r="C700" t="str">
            <v>Fournisseurs Groupe, effets à payer</v>
          </cell>
          <cell r="D700" t="str">
            <v>OHADA</v>
          </cell>
          <cell r="E700" t="str">
            <v>402000 - Fournisseurs, effets à payer - OHADA</v>
          </cell>
          <cell r="F700">
            <v>402200</v>
          </cell>
          <cell r="G700" t="str">
            <v>0</v>
          </cell>
          <cell r="H700" t="str">
            <v>Liability</v>
          </cell>
          <cell r="I700" t="str">
            <v>Balance Sheet</v>
          </cell>
          <cell r="J700" t="str">
            <v>XAF</v>
          </cell>
          <cell r="K700" t="str">
            <v>Fournisseurs d'exploitation</v>
          </cell>
        </row>
        <row r="701">
          <cell r="A701" t="str">
            <v>A700</v>
          </cell>
          <cell r="B701" t="str">
            <v>"402300 - Fournisseurs Sous - traitants, effets à payer - OHADA"</v>
          </cell>
          <cell r="C701" t="str">
            <v>Fournisseurs Sous-traitants, effets à payer</v>
          </cell>
          <cell r="D701" t="str">
            <v>OHADA</v>
          </cell>
          <cell r="E701" t="str">
            <v>402000 - Fournisseurs, effets à payer - OHADA</v>
          </cell>
          <cell r="F701">
            <v>402300</v>
          </cell>
          <cell r="G701" t="str">
            <v>0</v>
          </cell>
          <cell r="H701" t="str">
            <v>Liability</v>
          </cell>
          <cell r="I701" t="str">
            <v>Balance Sheet</v>
          </cell>
          <cell r="J701" t="str">
            <v>XAF</v>
          </cell>
          <cell r="K701" t="str">
            <v>Fournisseurs d'exploitation</v>
          </cell>
        </row>
        <row r="702">
          <cell r="A702" t="str">
            <v>A701</v>
          </cell>
          <cell r="B702" t="str">
            <v>"404000 - Fournisseurs, acquisitions courantes d’immobilisations - OHADA"</v>
          </cell>
          <cell r="C702" t="str">
            <v>Fournisseurs, acquisitions courantes d’immobilisations</v>
          </cell>
          <cell r="D702" t="str">
            <v>OHADA</v>
          </cell>
          <cell r="E702" t="str">
            <v>400000 -Fournisseurs et comptes rattachés (PASSIF) - OHADA</v>
          </cell>
          <cell r="F702">
            <v>404000</v>
          </cell>
          <cell r="G702" t="str">
            <v>1</v>
          </cell>
          <cell r="H702" t="str">
            <v>Liability</v>
          </cell>
          <cell r="I702" t="str">
            <v>Balance Sheet</v>
          </cell>
          <cell r="J702" t="str">
            <v>XAF</v>
          </cell>
          <cell r="K702" t="str">
            <v>Fournisseurs d'exploitation</v>
          </cell>
        </row>
        <row r="703">
          <cell r="A703" t="str">
            <v>A702</v>
          </cell>
          <cell r="B703" t="str">
            <v>"404100 - Fournisseurs Dettes en comptes, immobilisations incorporelles - OHADA"</v>
          </cell>
          <cell r="C703" t="str">
            <v>Fournisseurs Dettes en comptes, immobilisations incorporelles</v>
          </cell>
          <cell r="D703" t="str">
            <v>OHADA</v>
          </cell>
          <cell r="E703" t="str">
            <v>404000 - Fournisseurs, acquisitions courantes d’immobilisations - OHADA</v>
          </cell>
          <cell r="F703">
            <v>404100</v>
          </cell>
          <cell r="G703" t="str">
            <v>0</v>
          </cell>
          <cell r="H703" t="str">
            <v>Liability</v>
          </cell>
          <cell r="I703" t="str">
            <v>Balance Sheet</v>
          </cell>
          <cell r="J703" t="str">
            <v>XAF</v>
          </cell>
          <cell r="K703" t="str">
            <v>Fournisseurs d'exploitation</v>
          </cell>
        </row>
        <row r="704">
          <cell r="A704" t="str">
            <v>A703</v>
          </cell>
          <cell r="B704" t="str">
            <v>"404200 - Fournisseurs Dettes en comptes, immobilisations corporelles - OHADA"</v>
          </cell>
          <cell r="C704" t="str">
            <v>Fournisseurs Dettes en comptes, immobilisations corporelles</v>
          </cell>
          <cell r="D704" t="str">
            <v>OHADA</v>
          </cell>
          <cell r="E704" t="str">
            <v>404000 - Fournisseurs, acquisitions courantes d’immobilisations - OHADA</v>
          </cell>
          <cell r="F704">
            <v>404200</v>
          </cell>
          <cell r="G704" t="str">
            <v>0</v>
          </cell>
          <cell r="H704" t="str">
            <v>Liability</v>
          </cell>
          <cell r="I704" t="str">
            <v>Balance Sheet</v>
          </cell>
          <cell r="J704" t="str">
            <v>XAF</v>
          </cell>
          <cell r="K704" t="str">
            <v>Fournisseurs d'exploitation</v>
          </cell>
        </row>
        <row r="705">
          <cell r="A705" t="str">
            <v>A704</v>
          </cell>
          <cell r="B705" t="str">
            <v>"404600 - Fournisseurs Effets à payer, immobilisations incorporelles - OHADA"</v>
          </cell>
          <cell r="C705" t="str">
            <v>Fournisseurs Effets à payer, immobilisations incorporelles</v>
          </cell>
          <cell r="D705" t="str">
            <v>OHADA</v>
          </cell>
          <cell r="E705" t="str">
            <v>404000 - Fournisseurs, acquisitions courantes d’immobilisations - OHADA</v>
          </cell>
          <cell r="F705">
            <v>404600</v>
          </cell>
          <cell r="G705" t="str">
            <v>0</v>
          </cell>
          <cell r="H705" t="str">
            <v>Liability</v>
          </cell>
          <cell r="I705" t="str">
            <v>Balance Sheet</v>
          </cell>
          <cell r="J705" t="str">
            <v>XAF</v>
          </cell>
          <cell r="K705" t="str">
            <v>Fournisseurs d'exploitation</v>
          </cell>
        </row>
        <row r="706">
          <cell r="A706" t="str">
            <v>A705</v>
          </cell>
          <cell r="B706" t="str">
            <v>"404700 - Fournisseurs Effets à payer, immobilisations corporelles - OHADA"</v>
          </cell>
          <cell r="C706" t="str">
            <v>Fournisseurs Effets à payer, immobilisations corporelles</v>
          </cell>
          <cell r="D706" t="str">
            <v>OHADA</v>
          </cell>
          <cell r="E706" t="str">
            <v>404000 - Fournisseurs, acquisitions courantes d’immobilisations - OHADA</v>
          </cell>
          <cell r="F706">
            <v>404700</v>
          </cell>
          <cell r="G706" t="str">
            <v>0</v>
          </cell>
          <cell r="H706" t="str">
            <v>Liability</v>
          </cell>
          <cell r="I706" t="str">
            <v>Balance Sheet</v>
          </cell>
          <cell r="J706" t="str">
            <v>XAF</v>
          </cell>
          <cell r="K706" t="str">
            <v>Fournisseurs d'exploitation</v>
          </cell>
        </row>
        <row r="707">
          <cell r="A707" t="str">
            <v>A706</v>
          </cell>
          <cell r="B707" t="str">
            <v>"408000 - Fournisseurs, factures non parvenues - OHADA"</v>
          </cell>
          <cell r="C707" t="str">
            <v>Fournisseurs, factures non parvenues</v>
          </cell>
          <cell r="D707" t="str">
            <v>OHADA</v>
          </cell>
          <cell r="E707" t="str">
            <v>400000 -Fournisseurs et comptes rattachés (PASSIF) - OHADA</v>
          </cell>
          <cell r="F707">
            <v>408000</v>
          </cell>
          <cell r="G707" t="str">
            <v>1</v>
          </cell>
          <cell r="H707" t="str">
            <v>Liability</v>
          </cell>
          <cell r="I707" t="str">
            <v>Balance Sheet</v>
          </cell>
          <cell r="J707" t="str">
            <v>XAF</v>
          </cell>
          <cell r="K707" t="str">
            <v>Fournisseurs d'exploitation</v>
          </cell>
        </row>
        <row r="708">
          <cell r="A708" t="str">
            <v>A707</v>
          </cell>
          <cell r="B708" t="str">
            <v>"408100 - Fournisseurs - OHADA"</v>
          </cell>
          <cell r="C708" t="str">
            <v>Fournisseurs</v>
          </cell>
          <cell r="D708" t="str">
            <v>OHADA</v>
          </cell>
          <cell r="E708" t="str">
            <v>408000 - Fournisseurs, factures non parvenues - OHADA</v>
          </cell>
          <cell r="F708">
            <v>408100</v>
          </cell>
          <cell r="G708" t="str">
            <v>0</v>
          </cell>
          <cell r="H708" t="str">
            <v>Liability</v>
          </cell>
          <cell r="I708" t="str">
            <v>Balance Sheet</v>
          </cell>
          <cell r="J708" t="str">
            <v>XAF</v>
          </cell>
          <cell r="K708" t="str">
            <v>Fournisseurs d'exploitation</v>
          </cell>
        </row>
        <row r="709">
          <cell r="A709" t="str">
            <v>A708</v>
          </cell>
          <cell r="B709" t="str">
            <v>"408200 - Fournisseurs groupe - OHADA"</v>
          </cell>
          <cell r="C709" t="str">
            <v>Fournisseurs groupe</v>
          </cell>
          <cell r="D709" t="str">
            <v>OHADA</v>
          </cell>
          <cell r="E709" t="str">
            <v>408000 - Fournisseurs, factures non parvenues - OHADA</v>
          </cell>
          <cell r="F709">
            <v>408200</v>
          </cell>
          <cell r="G709" t="str">
            <v>0</v>
          </cell>
          <cell r="H709" t="str">
            <v>Liability</v>
          </cell>
          <cell r="I709" t="str">
            <v>Balance Sheet</v>
          </cell>
          <cell r="J709" t="str">
            <v>XAF</v>
          </cell>
          <cell r="K709" t="str">
            <v>Fournisseurs d'exploitation</v>
          </cell>
        </row>
        <row r="710">
          <cell r="A710" t="str">
            <v>A709</v>
          </cell>
          <cell r="B710" t="str">
            <v>"408300 - Fournisseurs sous - traitants - OHADA"</v>
          </cell>
          <cell r="C710" t="str">
            <v>Fournisseurs sous-traitants</v>
          </cell>
          <cell r="D710" t="str">
            <v>OHADA</v>
          </cell>
          <cell r="E710" t="str">
            <v>408000 - Fournisseurs, factures non parvenues - OHADA</v>
          </cell>
          <cell r="F710">
            <v>408300</v>
          </cell>
          <cell r="G710" t="str">
            <v>0</v>
          </cell>
          <cell r="H710" t="str">
            <v>Liability</v>
          </cell>
          <cell r="I710" t="str">
            <v>Balance Sheet</v>
          </cell>
          <cell r="J710" t="str">
            <v>XAF</v>
          </cell>
          <cell r="K710" t="str">
            <v>Fournisseurs d'exploitation</v>
          </cell>
        </row>
        <row r="711">
          <cell r="A711" t="str">
            <v>A710</v>
          </cell>
          <cell r="B711" t="str">
            <v>"408600 - Fournisseurs, intérêts courus - OHADA"</v>
          </cell>
          <cell r="C711" t="str">
            <v>Fournisseurs, intérêts courus</v>
          </cell>
          <cell r="D711" t="str">
            <v>OHADA</v>
          </cell>
          <cell r="E711" t="str">
            <v>408000 - Fournisseurs, factures non parvenues - OHADA</v>
          </cell>
          <cell r="F711">
            <v>408600</v>
          </cell>
          <cell r="G711" t="str">
            <v>0</v>
          </cell>
          <cell r="H711" t="str">
            <v>Liability</v>
          </cell>
          <cell r="I711" t="str">
            <v>Balance Sheet</v>
          </cell>
          <cell r="J711" t="str">
            <v>XAF</v>
          </cell>
          <cell r="K711" t="str">
            <v>Fournisseurs d'exploitation</v>
          </cell>
        </row>
        <row r="712">
          <cell r="A712" t="str">
            <v>A711</v>
          </cell>
          <cell r="B712" t="str">
            <v>"410000 -Clients et comptes rattachés (PASSIF) - OHADA"</v>
          </cell>
          <cell r="C712" t="str">
            <v>41-Clients et comptes rattachés (PASSIF)</v>
          </cell>
          <cell r="D712" t="str">
            <v>OHADA</v>
          </cell>
          <cell r="E712" t="str">
            <v>4-Comptes de Tiers (PASSIF) - OHADA</v>
          </cell>
          <cell r="F712">
            <v>410000</v>
          </cell>
          <cell r="G712" t="str">
            <v>1</v>
          </cell>
          <cell r="H712" t="str">
            <v>Liability</v>
          </cell>
          <cell r="I712" t="str">
            <v>Balance Sheet</v>
          </cell>
          <cell r="J712" t="str">
            <v>XAF</v>
          </cell>
        </row>
        <row r="713">
          <cell r="A713" t="str">
            <v>A712</v>
          </cell>
          <cell r="B713" t="str">
            <v>"419000 - Clients créditeurs - OHADA"</v>
          </cell>
          <cell r="C713" t="str">
            <v>Clients créditeurs</v>
          </cell>
          <cell r="D713" t="str">
            <v>OHADA</v>
          </cell>
          <cell r="E713" t="str">
            <v>410000 -Clients et comptes rattachés (PASSIF) - OHADA</v>
          </cell>
          <cell r="F713">
            <v>419000</v>
          </cell>
          <cell r="G713" t="str">
            <v>1</v>
          </cell>
          <cell r="H713" t="str">
            <v>Liability</v>
          </cell>
          <cell r="I713" t="str">
            <v>Balance Sheet</v>
          </cell>
          <cell r="J713" t="str">
            <v>XAF</v>
          </cell>
          <cell r="K713" t="str">
            <v>Clients, avances reçues</v>
          </cell>
        </row>
        <row r="714">
          <cell r="A714" t="str">
            <v>A713</v>
          </cell>
          <cell r="B714" t="str">
            <v>"419100 - Clients, avances et acomptes reçus - OHADA"</v>
          </cell>
          <cell r="C714" t="str">
            <v>Clients, avances et acomptes reçus</v>
          </cell>
          <cell r="D714" t="str">
            <v>OHADA</v>
          </cell>
          <cell r="E714" t="str">
            <v>419000 - Clients créditeurs - OHADA</v>
          </cell>
          <cell r="F714">
            <v>419100</v>
          </cell>
          <cell r="G714" t="str">
            <v>0</v>
          </cell>
          <cell r="H714" t="str">
            <v>Liability</v>
          </cell>
          <cell r="I714" t="str">
            <v>Balance Sheet</v>
          </cell>
          <cell r="J714" t="str">
            <v>XAF</v>
          </cell>
          <cell r="K714" t="str">
            <v>Clients, avances reçues</v>
          </cell>
        </row>
        <row r="715">
          <cell r="A715" t="str">
            <v>A714</v>
          </cell>
          <cell r="B715" t="str">
            <v>"419200 - Clients groupe, avances et acomptes reçus - OHADA"</v>
          </cell>
          <cell r="C715" t="str">
            <v>Clients groupe, avances et acomptes reçus</v>
          </cell>
          <cell r="D715" t="str">
            <v>OHADA</v>
          </cell>
          <cell r="E715" t="str">
            <v>419000 - Clients créditeurs - OHADA</v>
          </cell>
          <cell r="F715">
            <v>419200</v>
          </cell>
          <cell r="G715" t="str">
            <v>0</v>
          </cell>
          <cell r="H715" t="str">
            <v>Liability</v>
          </cell>
          <cell r="I715" t="str">
            <v>Balance Sheet</v>
          </cell>
          <cell r="J715" t="str">
            <v>XAF</v>
          </cell>
          <cell r="K715" t="str">
            <v>Clients, avances reçues</v>
          </cell>
        </row>
        <row r="716">
          <cell r="A716" t="str">
            <v>A715</v>
          </cell>
          <cell r="B716" t="str">
            <v>"419400 - Clients, dettes pour emballages et matériels consignés - OHADA"</v>
          </cell>
          <cell r="C716" t="str">
            <v>Clients, dettes pour emballages et matériels consignés</v>
          </cell>
          <cell r="D716" t="str">
            <v>OHADA</v>
          </cell>
          <cell r="E716" t="str">
            <v>419000 - Clients créditeurs - OHADA</v>
          </cell>
          <cell r="F716">
            <v>419400</v>
          </cell>
          <cell r="G716" t="str">
            <v>0</v>
          </cell>
          <cell r="H716" t="str">
            <v>Liability</v>
          </cell>
          <cell r="I716" t="str">
            <v>Balance Sheet</v>
          </cell>
          <cell r="J716" t="str">
            <v>XAF</v>
          </cell>
          <cell r="K716" t="str">
            <v>Clients, avances reçues</v>
          </cell>
        </row>
        <row r="717">
          <cell r="A717" t="str">
            <v>A716</v>
          </cell>
          <cell r="B717" t="str">
            <v>"419800 - Clients, rabais, remises, ristournes et autres avoirs à accorder - OHADA"</v>
          </cell>
          <cell r="C717" t="str">
            <v>Clients, rabais, remises, ristournes et autres avoirs à accorder</v>
          </cell>
          <cell r="D717" t="str">
            <v>OHADA</v>
          </cell>
          <cell r="E717" t="str">
            <v>419000 - Clients créditeurs - OHADA</v>
          </cell>
          <cell r="F717">
            <v>419800</v>
          </cell>
          <cell r="G717" t="str">
            <v>0</v>
          </cell>
          <cell r="H717" t="str">
            <v>Liability</v>
          </cell>
          <cell r="I717" t="str">
            <v>Balance Sheet</v>
          </cell>
          <cell r="J717" t="str">
            <v>XAF</v>
          </cell>
          <cell r="K717" t="str">
            <v>Clients, avances reçues</v>
          </cell>
        </row>
        <row r="718">
          <cell r="A718" t="str">
            <v>A717</v>
          </cell>
          <cell r="B718" t="str">
            <v>"420000 -Personnel (PASSIF) - OHADA"</v>
          </cell>
          <cell r="C718" t="str">
            <v>42-Personnel (PASSIF)</v>
          </cell>
          <cell r="D718" t="str">
            <v>OHADA</v>
          </cell>
          <cell r="E718" t="str">
            <v>4-Comptes de Tiers (PASSIF) - OHADA</v>
          </cell>
          <cell r="F718">
            <v>420000</v>
          </cell>
          <cell r="G718" t="str">
            <v>1</v>
          </cell>
          <cell r="H718" t="str">
            <v>Liability</v>
          </cell>
          <cell r="I718" t="str">
            <v>Balance Sheet</v>
          </cell>
          <cell r="J718" t="str">
            <v>XAF</v>
          </cell>
        </row>
        <row r="719">
          <cell r="A719" t="str">
            <v>A718</v>
          </cell>
          <cell r="B719" t="str">
            <v>"422000 - Personnel, rémunérations dues - OHADA"</v>
          </cell>
          <cell r="C719" t="str">
            <v>Personnel, rémunérations dues</v>
          </cell>
          <cell r="D719" t="str">
            <v>OHADA</v>
          </cell>
          <cell r="E719" t="str">
            <v>420000 -Personnel (PASSIF) - OHADA</v>
          </cell>
          <cell r="F719">
            <v>422000</v>
          </cell>
          <cell r="G719" t="str">
            <v>0</v>
          </cell>
          <cell r="H719" t="str">
            <v>Liability</v>
          </cell>
          <cell r="I719" t="str">
            <v>Balance Sheet</v>
          </cell>
          <cell r="J719" t="str">
            <v>XAF</v>
          </cell>
          <cell r="K719" t="str">
            <v>Autres dettes</v>
          </cell>
        </row>
        <row r="720">
          <cell r="A720" t="str">
            <v>A719</v>
          </cell>
          <cell r="B720" t="str">
            <v>"423000 - Personnel, oppositions, saisies - arrêts - OHADA"</v>
          </cell>
          <cell r="C720" t="str">
            <v>Personnel, oppositions, saisies-arrêts</v>
          </cell>
          <cell r="D720" t="str">
            <v>OHADA</v>
          </cell>
          <cell r="E720" t="str">
            <v>420000 -Personnel (PASSIF) - OHADA</v>
          </cell>
          <cell r="F720">
            <v>423000</v>
          </cell>
          <cell r="G720" t="str">
            <v>1</v>
          </cell>
          <cell r="H720" t="str">
            <v>Liability</v>
          </cell>
          <cell r="I720" t="str">
            <v>Balance Sheet</v>
          </cell>
          <cell r="J720" t="str">
            <v>XAF</v>
          </cell>
          <cell r="K720" t="str">
            <v>Autres dettes</v>
          </cell>
        </row>
        <row r="721">
          <cell r="A721" t="str">
            <v>A720</v>
          </cell>
          <cell r="B721" t="str">
            <v>"423100 - Personnel, oppositions - OHADA"</v>
          </cell>
          <cell r="C721" t="str">
            <v>Personnel, oppositions</v>
          </cell>
          <cell r="D721" t="str">
            <v>OHADA</v>
          </cell>
          <cell r="E721" t="str">
            <v>423000 - Personnel, oppositions, saisies-arrêts - OHADA</v>
          </cell>
          <cell r="F721">
            <v>423100</v>
          </cell>
          <cell r="G721" t="str">
            <v>0</v>
          </cell>
          <cell r="H721" t="str">
            <v>Liability</v>
          </cell>
          <cell r="I721" t="str">
            <v>Balance Sheet</v>
          </cell>
          <cell r="J721" t="str">
            <v>XAF</v>
          </cell>
          <cell r="K721" t="str">
            <v>Autres dettes</v>
          </cell>
        </row>
        <row r="722">
          <cell r="A722" t="str">
            <v>A721</v>
          </cell>
          <cell r="B722" t="str">
            <v>"423200 - Personnel, saisies - arrêts - OHADA"</v>
          </cell>
          <cell r="C722" t="str">
            <v>Personnel, saisies-arrêts</v>
          </cell>
          <cell r="D722" t="str">
            <v>OHADA</v>
          </cell>
          <cell r="E722" t="str">
            <v>423000 - Personnel, oppositions, saisies-arrêts - OHADA</v>
          </cell>
          <cell r="F722">
            <v>423200</v>
          </cell>
          <cell r="G722" t="str">
            <v>0</v>
          </cell>
          <cell r="H722" t="str">
            <v>Liability</v>
          </cell>
          <cell r="I722" t="str">
            <v>Balance Sheet</v>
          </cell>
          <cell r="J722" t="str">
            <v>XAF</v>
          </cell>
          <cell r="K722" t="str">
            <v>Autres dettes</v>
          </cell>
        </row>
        <row r="723">
          <cell r="A723" t="str">
            <v>A722</v>
          </cell>
          <cell r="B723" t="str">
            <v>"423300 - Personnel, avis à tiers détenteur - OHADA"</v>
          </cell>
          <cell r="C723" t="str">
            <v>Personnel, avis à tiers détenteur</v>
          </cell>
          <cell r="D723" t="str">
            <v>OHADA</v>
          </cell>
          <cell r="E723" t="str">
            <v>423000 - Personnel, oppositions, saisies-arrêts - OHADA</v>
          </cell>
          <cell r="F723">
            <v>423300</v>
          </cell>
          <cell r="G723" t="str">
            <v>0</v>
          </cell>
          <cell r="H723" t="str">
            <v>Liability</v>
          </cell>
          <cell r="I723" t="str">
            <v>Balance Sheet</v>
          </cell>
          <cell r="J723" t="str">
            <v>XAF</v>
          </cell>
          <cell r="K723" t="str">
            <v>Autres dettes</v>
          </cell>
        </row>
        <row r="724">
          <cell r="A724" t="str">
            <v>A723</v>
          </cell>
          <cell r="B724" t="str">
            <v>"424000 - Personnel, œuvres sociales internes - OHADA"</v>
          </cell>
          <cell r="C724" t="str">
            <v>Personnel, œuvres sociales internes</v>
          </cell>
          <cell r="D724" t="str">
            <v>OHADA</v>
          </cell>
          <cell r="E724" t="str">
            <v>420000 -Personnel (PASSIF) - OHADA</v>
          </cell>
          <cell r="F724">
            <v>424000</v>
          </cell>
          <cell r="G724" t="str">
            <v>1</v>
          </cell>
          <cell r="H724" t="str">
            <v>Liability</v>
          </cell>
          <cell r="I724" t="str">
            <v>Balance Sheet</v>
          </cell>
          <cell r="J724" t="str">
            <v>XAF</v>
          </cell>
          <cell r="K724" t="str">
            <v>Autres dettes</v>
          </cell>
        </row>
        <row r="725">
          <cell r="A725" t="str">
            <v>A724</v>
          </cell>
          <cell r="B725" t="str">
            <v>"424100 - Assistance médicale - OHADA"</v>
          </cell>
          <cell r="C725" t="str">
            <v>Assistance médicale</v>
          </cell>
          <cell r="D725" t="str">
            <v>OHADA</v>
          </cell>
          <cell r="E725" t="str">
            <v>424000 - Personnel, œuvres sociales internes - OHADA</v>
          </cell>
          <cell r="F725">
            <v>424100</v>
          </cell>
          <cell r="G725" t="str">
            <v>0</v>
          </cell>
          <cell r="H725" t="str">
            <v>Liability</v>
          </cell>
          <cell r="I725" t="str">
            <v>Balance Sheet</v>
          </cell>
          <cell r="J725" t="str">
            <v>XAF</v>
          </cell>
          <cell r="K725" t="str">
            <v>Autres dettes</v>
          </cell>
        </row>
        <row r="726">
          <cell r="A726" t="str">
            <v>A725</v>
          </cell>
          <cell r="B726" t="str">
            <v>"424200 - Allocations familiales - OHADA"</v>
          </cell>
          <cell r="C726" t="str">
            <v>Allocations familiales</v>
          </cell>
          <cell r="D726" t="str">
            <v>OHADA</v>
          </cell>
          <cell r="E726" t="str">
            <v>424000 - Personnel, œuvres sociales internes - OHADA</v>
          </cell>
          <cell r="F726">
            <v>424200</v>
          </cell>
          <cell r="G726" t="str">
            <v>0</v>
          </cell>
          <cell r="H726" t="str">
            <v>Liability</v>
          </cell>
          <cell r="I726" t="str">
            <v>Balance Sheet</v>
          </cell>
          <cell r="J726" t="str">
            <v>XAF</v>
          </cell>
          <cell r="K726" t="str">
            <v>Autres dettes</v>
          </cell>
        </row>
        <row r="727">
          <cell r="A727" t="str">
            <v>A726</v>
          </cell>
          <cell r="B727" t="str">
            <v>"424500 - Organismes sociaux rattachés à l’entité - OHADA"</v>
          </cell>
          <cell r="C727" t="str">
            <v>Organismes sociaux rattachés à l’entité</v>
          </cell>
          <cell r="D727" t="str">
            <v>OHADA</v>
          </cell>
          <cell r="E727" t="str">
            <v>424000 - Personnel, œuvres sociales internes - OHADA</v>
          </cell>
          <cell r="F727">
            <v>424500</v>
          </cell>
          <cell r="G727" t="str">
            <v>0</v>
          </cell>
          <cell r="H727" t="str">
            <v>Liability</v>
          </cell>
          <cell r="I727" t="str">
            <v>Balance Sheet</v>
          </cell>
          <cell r="J727" t="str">
            <v>XAF</v>
          </cell>
          <cell r="K727" t="str">
            <v>Autres dettes</v>
          </cell>
        </row>
        <row r="728">
          <cell r="A728" t="str">
            <v>A727</v>
          </cell>
          <cell r="B728" t="str">
            <v>"424800 - Autres œuvres sociales internes - OHADA"</v>
          </cell>
          <cell r="C728" t="str">
            <v>Autres œuvres sociales internes</v>
          </cell>
          <cell r="D728" t="str">
            <v>OHADA</v>
          </cell>
          <cell r="E728" t="str">
            <v>424000 - Personnel, œuvres sociales internes - OHADA</v>
          </cell>
          <cell r="F728">
            <v>424800</v>
          </cell>
          <cell r="G728" t="str">
            <v>0</v>
          </cell>
          <cell r="H728" t="str">
            <v>Liability</v>
          </cell>
          <cell r="I728" t="str">
            <v>Balance Sheet</v>
          </cell>
          <cell r="J728" t="str">
            <v>XAF</v>
          </cell>
          <cell r="K728" t="str">
            <v>Autres dettes</v>
          </cell>
        </row>
        <row r="729">
          <cell r="A729" t="str">
            <v>A728</v>
          </cell>
          <cell r="B729" t="str">
            <v>"425000 - Représentants du personnel - OHADA"</v>
          </cell>
          <cell r="C729" t="str">
            <v>Représentants du personnel</v>
          </cell>
          <cell r="D729" t="str">
            <v>OHADA</v>
          </cell>
          <cell r="E729" t="str">
            <v>420000 -Personnel (PASSIF) - OHADA</v>
          </cell>
          <cell r="F729">
            <v>425000</v>
          </cell>
          <cell r="G729" t="str">
            <v>1</v>
          </cell>
          <cell r="H729" t="str">
            <v>Liability</v>
          </cell>
          <cell r="I729" t="str">
            <v>Balance Sheet</v>
          </cell>
          <cell r="J729" t="str">
            <v>XAF</v>
          </cell>
          <cell r="K729" t="str">
            <v>Autres dettes</v>
          </cell>
        </row>
        <row r="730">
          <cell r="A730" t="str">
            <v>A729</v>
          </cell>
          <cell r="B730" t="str">
            <v>"425100 - Délégués du personnel - OHADA"</v>
          </cell>
          <cell r="C730" t="str">
            <v>Délégués du personnel</v>
          </cell>
          <cell r="D730" t="str">
            <v>OHADA</v>
          </cell>
          <cell r="E730" t="str">
            <v>425000 - Représentants du personnel - OHADA</v>
          </cell>
          <cell r="F730">
            <v>425100</v>
          </cell>
          <cell r="G730" t="str">
            <v>0</v>
          </cell>
          <cell r="H730" t="str">
            <v>Liability</v>
          </cell>
          <cell r="I730" t="str">
            <v>Balance Sheet</v>
          </cell>
          <cell r="J730" t="str">
            <v>XAF</v>
          </cell>
          <cell r="K730" t="str">
            <v>Autres dettes</v>
          </cell>
        </row>
        <row r="731">
          <cell r="A731" t="str">
            <v>A730</v>
          </cell>
          <cell r="B731" t="str">
            <v>"425200 - Syndicats et Comités d’entreprises, d’Établissement - OHADA"</v>
          </cell>
          <cell r="C731" t="str">
            <v>Syndicats et Comités d’entreprises, d’Établissement</v>
          </cell>
          <cell r="D731" t="str">
            <v>OHADA</v>
          </cell>
          <cell r="E731" t="str">
            <v>425000 - Représentants du personnel - OHADA</v>
          </cell>
          <cell r="F731">
            <v>425200</v>
          </cell>
          <cell r="G731" t="str">
            <v>0</v>
          </cell>
          <cell r="H731" t="str">
            <v>Liability</v>
          </cell>
          <cell r="I731" t="str">
            <v>Balance Sheet</v>
          </cell>
          <cell r="J731" t="str">
            <v>XAF</v>
          </cell>
          <cell r="K731" t="str">
            <v>Autres dettes</v>
          </cell>
        </row>
        <row r="732">
          <cell r="A732" t="str">
            <v>A731</v>
          </cell>
          <cell r="B732" t="str">
            <v>"425800 - Autres représentants du personnel - OHADA"</v>
          </cell>
          <cell r="C732" t="str">
            <v>Autres représentants du personnel</v>
          </cell>
          <cell r="D732" t="str">
            <v>OHADA</v>
          </cell>
          <cell r="E732" t="str">
            <v>425000 - Représentants du personnel - OHADA</v>
          </cell>
          <cell r="F732">
            <v>425800</v>
          </cell>
          <cell r="G732" t="str">
            <v>0</v>
          </cell>
          <cell r="H732" t="str">
            <v>Liability</v>
          </cell>
          <cell r="I732" t="str">
            <v>Balance Sheet</v>
          </cell>
          <cell r="J732" t="str">
            <v>XAF</v>
          </cell>
          <cell r="K732" t="str">
            <v>Autres dettes</v>
          </cell>
        </row>
        <row r="733">
          <cell r="A733" t="str">
            <v>A732</v>
          </cell>
          <cell r="B733" t="str">
            <v>"426000 - Personnel, participation aux bénéfices et au capital - OHADA"</v>
          </cell>
          <cell r="C733" t="str">
            <v>Personnel, participation aux bénéfices et au capital</v>
          </cell>
          <cell r="D733" t="str">
            <v>OHADA</v>
          </cell>
          <cell r="E733" t="str">
            <v>420000 -Personnel (PASSIF) - OHADA</v>
          </cell>
          <cell r="F733">
            <v>426000</v>
          </cell>
          <cell r="G733" t="str">
            <v>1</v>
          </cell>
          <cell r="H733" t="str">
            <v>Liability</v>
          </cell>
          <cell r="I733" t="str">
            <v>Balance Sheet</v>
          </cell>
          <cell r="J733" t="str">
            <v>XAF</v>
          </cell>
          <cell r="K733" t="str">
            <v>Autres dettes</v>
          </cell>
        </row>
        <row r="734">
          <cell r="A734" t="str">
            <v>A733</v>
          </cell>
          <cell r="B734" t="str">
            <v>"426100 - Participation aux bénéfices - OHADA"</v>
          </cell>
          <cell r="C734" t="str">
            <v>Participation aux bénéfices</v>
          </cell>
          <cell r="D734" t="str">
            <v>OHADA</v>
          </cell>
          <cell r="E734" t="str">
            <v>426000 - Personnel, participation aux bénéfices et au capital - OHADA</v>
          </cell>
          <cell r="F734">
            <v>426100</v>
          </cell>
          <cell r="G734" t="str">
            <v>0</v>
          </cell>
          <cell r="H734" t="str">
            <v>Liability</v>
          </cell>
          <cell r="I734" t="str">
            <v>Balance Sheet</v>
          </cell>
          <cell r="J734" t="str">
            <v>XAF</v>
          </cell>
          <cell r="K734" t="str">
            <v>Autres dettes</v>
          </cell>
        </row>
        <row r="735">
          <cell r="A735" t="str">
            <v>A734</v>
          </cell>
          <cell r="B735" t="str">
            <v>"426400 - Participation au capital - OHADA"</v>
          </cell>
          <cell r="C735" t="str">
            <v>Participation au capital</v>
          </cell>
          <cell r="D735" t="str">
            <v>OHADA</v>
          </cell>
          <cell r="E735" t="str">
            <v>426000 - Personnel, participation aux bénéfices et au capital - OHADA</v>
          </cell>
          <cell r="F735">
            <v>426400</v>
          </cell>
          <cell r="G735" t="str">
            <v>0</v>
          </cell>
          <cell r="H735" t="str">
            <v>Liability</v>
          </cell>
          <cell r="I735" t="str">
            <v>Balance Sheet</v>
          </cell>
          <cell r="J735" t="str">
            <v>XAF</v>
          </cell>
          <cell r="K735" t="str">
            <v>Autres dettes</v>
          </cell>
        </row>
        <row r="736">
          <cell r="A736" t="str">
            <v>A735</v>
          </cell>
          <cell r="B736" t="str">
            <v>"427000 - Personnel dépôts - OHADA"</v>
          </cell>
          <cell r="C736" t="str">
            <v>Personnel dépôts</v>
          </cell>
          <cell r="D736" t="str">
            <v>OHADA</v>
          </cell>
          <cell r="E736" t="str">
            <v>420000 -Personnel (PASSIF) - OHADA</v>
          </cell>
          <cell r="F736">
            <v>427000</v>
          </cell>
          <cell r="G736" t="str">
            <v>0</v>
          </cell>
          <cell r="H736" t="str">
            <v>Liability</v>
          </cell>
          <cell r="I736" t="str">
            <v>Balance Sheet</v>
          </cell>
          <cell r="J736" t="str">
            <v>XAF</v>
          </cell>
          <cell r="K736" t="str">
            <v>Autres dettes</v>
          </cell>
        </row>
        <row r="737">
          <cell r="A737" t="str">
            <v>A736</v>
          </cell>
          <cell r="B737" t="str">
            <v>"428000 - Personnel, charges à payer et produits à recevoir - OHADA"</v>
          </cell>
          <cell r="C737" t="str">
            <v>Personnel, charges à payer et produits à recevoir</v>
          </cell>
          <cell r="D737" t="str">
            <v>OHADA</v>
          </cell>
          <cell r="E737" t="str">
            <v>420000 -Personnel (PASSIF) - OHADA</v>
          </cell>
          <cell r="F737">
            <v>428000</v>
          </cell>
          <cell r="G737" t="str">
            <v>1</v>
          </cell>
          <cell r="H737" t="str">
            <v>Liability</v>
          </cell>
          <cell r="I737" t="str">
            <v>Balance Sheet</v>
          </cell>
          <cell r="J737" t="str">
            <v>XAF</v>
          </cell>
          <cell r="K737" t="str">
            <v>Autres dettes</v>
          </cell>
        </row>
        <row r="738">
          <cell r="A738" t="str">
            <v>A737</v>
          </cell>
          <cell r="B738" t="str">
            <v>"428100 - Dettes provisionnées pour congés à payer - OHADA"</v>
          </cell>
          <cell r="C738" t="str">
            <v>Dettes provisionnées pour congés à payer</v>
          </cell>
          <cell r="D738" t="str">
            <v>OHADA</v>
          </cell>
          <cell r="E738" t="str">
            <v>428000 - Personnel, charges à payer et produits à recevoir - OHADA</v>
          </cell>
          <cell r="F738">
            <v>428100</v>
          </cell>
          <cell r="G738" t="str">
            <v>0</v>
          </cell>
          <cell r="H738" t="str">
            <v>Liability</v>
          </cell>
          <cell r="I738" t="str">
            <v>Balance Sheet</v>
          </cell>
          <cell r="J738" t="str">
            <v>XAF</v>
          </cell>
          <cell r="K738" t="str">
            <v>Autres dettes</v>
          </cell>
        </row>
        <row r="739">
          <cell r="A739" t="str">
            <v>A738</v>
          </cell>
          <cell r="B739" t="str">
            <v>"428600 - Autres charges à payer - OHADA"</v>
          </cell>
          <cell r="C739" t="str">
            <v>Autres charges à payer</v>
          </cell>
          <cell r="D739" t="str">
            <v>OHADA</v>
          </cell>
          <cell r="E739" t="str">
            <v>428000 - Personnel, charges à payer et produits à recevoir - OHADA</v>
          </cell>
          <cell r="F739">
            <v>428600</v>
          </cell>
          <cell r="G739" t="str">
            <v>0</v>
          </cell>
          <cell r="H739" t="str">
            <v>Liability</v>
          </cell>
          <cell r="I739" t="str">
            <v>Balance Sheet</v>
          </cell>
          <cell r="J739" t="str">
            <v>XAF</v>
          </cell>
          <cell r="K739" t="str">
            <v>Autres dettes</v>
          </cell>
        </row>
        <row r="740">
          <cell r="A740" t="str">
            <v>A739</v>
          </cell>
          <cell r="B740" t="str">
            <v>"428700 - Produits à recevoir - OHADA"</v>
          </cell>
          <cell r="C740" t="str">
            <v>Produits à recevoir</v>
          </cell>
          <cell r="D740" t="str">
            <v>OHADA</v>
          </cell>
          <cell r="E740" t="str">
            <v>428000 - Personnel, charges à payer et produits à recevoir - OHADA</v>
          </cell>
          <cell r="F740">
            <v>428700</v>
          </cell>
          <cell r="G740" t="str">
            <v>0</v>
          </cell>
          <cell r="H740" t="str">
            <v>Liability</v>
          </cell>
          <cell r="I740" t="str">
            <v>Balance Sheet</v>
          </cell>
          <cell r="J740" t="str">
            <v>XAF</v>
          </cell>
          <cell r="K740" t="str">
            <v>Autres dettes</v>
          </cell>
        </row>
        <row r="741">
          <cell r="A741" t="str">
            <v>A740</v>
          </cell>
          <cell r="B741" t="str">
            <v>"430000 -Organismes sociaux (PASSIF) - OHADA"</v>
          </cell>
          <cell r="C741" t="str">
            <v>43-Organismes sociaux (PASSIF)</v>
          </cell>
          <cell r="D741" t="str">
            <v>OHADA</v>
          </cell>
          <cell r="E741" t="str">
            <v>4-Comptes de Tiers (PASSIF) - OHADA</v>
          </cell>
          <cell r="F741">
            <v>430000</v>
          </cell>
          <cell r="G741" t="str">
            <v>1</v>
          </cell>
          <cell r="H741" t="str">
            <v>Liability</v>
          </cell>
          <cell r="I741" t="str">
            <v>Balance Sheet</v>
          </cell>
          <cell r="J741" t="str">
            <v>XAF</v>
          </cell>
          <cell r="K741" t="str">
            <v>Autres dettes</v>
          </cell>
        </row>
        <row r="742">
          <cell r="A742" t="str">
            <v>A741</v>
          </cell>
          <cell r="B742" t="str">
            <v>"438000 -Organismes sociaux, charges à payer et produits à recevoir 1 - OHADA"</v>
          </cell>
          <cell r="C742" t="str">
            <v>438-Organismes sociaux, charges à payer et produits à recevoir 1</v>
          </cell>
          <cell r="D742" t="str">
            <v>OHADA</v>
          </cell>
          <cell r="E742" t="str">
            <v>430000 -Organismes sociaux (PASSIF) - OHADA</v>
          </cell>
          <cell r="F742">
            <v>438000</v>
          </cell>
          <cell r="G742" t="str">
            <v>1</v>
          </cell>
          <cell r="H742" t="str">
            <v>Liability</v>
          </cell>
          <cell r="I742" t="str">
            <v>Balance Sheet</v>
          </cell>
          <cell r="J742" t="str">
            <v>XAF</v>
          </cell>
          <cell r="K742" t="str">
            <v>Autres dettes</v>
          </cell>
        </row>
        <row r="743">
          <cell r="A743" t="str">
            <v>A742</v>
          </cell>
          <cell r="B743" t="str">
            <v>"438100 - Charges sociales sur gratifications à payer - OHADA"</v>
          </cell>
          <cell r="C743" t="str">
            <v>Charges sociales sur gratifications à payer</v>
          </cell>
          <cell r="D743" t="str">
            <v>OHADA</v>
          </cell>
          <cell r="E743" t="str">
            <v>438000 -Organismes sociaux, charges à payer et produits à recevoir 1 - OHADA</v>
          </cell>
          <cell r="F743">
            <v>438100</v>
          </cell>
          <cell r="G743" t="str">
            <v>0</v>
          </cell>
          <cell r="H743" t="str">
            <v>Liability</v>
          </cell>
          <cell r="I743" t="str">
            <v>Balance Sheet</v>
          </cell>
          <cell r="J743" t="str">
            <v>XAF</v>
          </cell>
          <cell r="K743" t="str">
            <v>Autres dettes</v>
          </cell>
        </row>
        <row r="744">
          <cell r="A744" t="str">
            <v>A743</v>
          </cell>
          <cell r="B744" t="str">
            <v>"438200 - Charges sociales sur congés à payer - OHADA"</v>
          </cell>
          <cell r="C744" t="str">
            <v>Charges sociales sur congés à payer</v>
          </cell>
          <cell r="D744" t="str">
            <v>OHADA</v>
          </cell>
          <cell r="E744" t="str">
            <v>438000 -Organismes sociaux, charges à payer et produits à recevoir 1 - OHADA</v>
          </cell>
          <cell r="F744">
            <v>438200</v>
          </cell>
          <cell r="G744" t="str">
            <v>0</v>
          </cell>
          <cell r="H744" t="str">
            <v>Liability</v>
          </cell>
          <cell r="I744" t="str">
            <v>Balance Sheet</v>
          </cell>
          <cell r="J744" t="str">
            <v>XAF</v>
          </cell>
          <cell r="K744" t="str">
            <v>Autres dettes</v>
          </cell>
        </row>
        <row r="745">
          <cell r="A745" t="str">
            <v>A744</v>
          </cell>
          <cell r="B745" t="str">
            <v>"438600 - Autres charges à payer - OHADA"</v>
          </cell>
          <cell r="C745" t="str">
            <v>Autres charges à payer</v>
          </cell>
          <cell r="D745" t="str">
            <v>OHADA</v>
          </cell>
          <cell r="E745" t="str">
            <v>438000 -Organismes sociaux, charges à payer et produits à recevoir 1 - OHADA</v>
          </cell>
          <cell r="F745">
            <v>438600</v>
          </cell>
          <cell r="G745" t="str">
            <v>0</v>
          </cell>
          <cell r="H745" t="str">
            <v>Liability</v>
          </cell>
          <cell r="I745" t="str">
            <v>Balance Sheet</v>
          </cell>
          <cell r="J745" t="str">
            <v>XAF</v>
          </cell>
          <cell r="K745" t="str">
            <v>Autres dettes</v>
          </cell>
        </row>
        <row r="746">
          <cell r="A746" t="str">
            <v>A745</v>
          </cell>
          <cell r="B746" t="str">
            <v>"440000 -État et collectivités publiques (PASSIF) - OHADA"</v>
          </cell>
          <cell r="C746" t="str">
            <v>44-État et collectivités publiques (PASSIF)</v>
          </cell>
          <cell r="D746" t="str">
            <v>OHADA</v>
          </cell>
          <cell r="E746" t="str">
            <v>4-Comptes de Tiers (PASSIF) - OHADA</v>
          </cell>
          <cell r="F746">
            <v>440000</v>
          </cell>
          <cell r="G746" t="str">
            <v>1</v>
          </cell>
          <cell r="H746" t="str">
            <v>Liability</v>
          </cell>
          <cell r="I746" t="str">
            <v>Balance Sheet</v>
          </cell>
          <cell r="J746" t="str">
            <v>XAF</v>
          </cell>
          <cell r="K746" t="str">
            <v>Autres dettes</v>
          </cell>
        </row>
        <row r="747">
          <cell r="A747" t="str">
            <v>A746</v>
          </cell>
          <cell r="B747" t="str">
            <v>"441000 - État, impôt sur les bénéfices - OHADA"</v>
          </cell>
          <cell r="C747" t="str">
            <v>État, impôt sur les bénéfices</v>
          </cell>
          <cell r="D747" t="str">
            <v>OHADA</v>
          </cell>
          <cell r="E747" t="str">
            <v>440000 -État et collectivités publiques (PASSIF) - OHADA</v>
          </cell>
          <cell r="F747">
            <v>441000</v>
          </cell>
          <cell r="G747" t="str">
            <v>0</v>
          </cell>
          <cell r="H747" t="str">
            <v>Liability</v>
          </cell>
          <cell r="I747" t="str">
            <v>Balance Sheet</v>
          </cell>
          <cell r="J747" t="str">
            <v>XAF</v>
          </cell>
          <cell r="K747" t="str">
            <v>Autres dettes</v>
          </cell>
        </row>
        <row r="748">
          <cell r="A748" t="str">
            <v>A747</v>
          </cell>
          <cell r="B748" t="str">
            <v>"442000 - État, autres impôts et taxes - OHADA"</v>
          </cell>
          <cell r="C748" t="str">
            <v>État, autres impôts et taxes</v>
          </cell>
          <cell r="D748" t="str">
            <v>OHADA</v>
          </cell>
          <cell r="E748" t="str">
            <v>440000 -État et collectivités publiques (PASSIF) - OHADA</v>
          </cell>
          <cell r="F748">
            <v>442000</v>
          </cell>
          <cell r="G748" t="str">
            <v>1</v>
          </cell>
          <cell r="H748" t="str">
            <v>Liability</v>
          </cell>
          <cell r="I748" t="str">
            <v>Balance Sheet</v>
          </cell>
          <cell r="J748" t="str">
            <v>XAF</v>
          </cell>
          <cell r="K748" t="str">
            <v>Autres dettes</v>
          </cell>
        </row>
        <row r="749">
          <cell r="A749" t="str">
            <v>A748</v>
          </cell>
          <cell r="B749" t="str">
            <v>"442100 - Impôts et taxes d’État - OHADA"</v>
          </cell>
          <cell r="C749" t="str">
            <v>Impôts et taxes d’État</v>
          </cell>
          <cell r="D749" t="str">
            <v>OHADA</v>
          </cell>
          <cell r="E749" t="str">
            <v>442000 - État, autres impôts et taxes - OHADA</v>
          </cell>
          <cell r="F749">
            <v>442100</v>
          </cell>
          <cell r="G749" t="str">
            <v>0</v>
          </cell>
          <cell r="H749" t="str">
            <v>Liability</v>
          </cell>
          <cell r="I749" t="str">
            <v>Balance Sheet</v>
          </cell>
          <cell r="J749" t="str">
            <v>XAF</v>
          </cell>
          <cell r="K749" t="str">
            <v>Autres dettes</v>
          </cell>
        </row>
        <row r="750">
          <cell r="A750" t="str">
            <v>A749</v>
          </cell>
          <cell r="B750" t="str">
            <v>"442200 - Impôts et taxes pour les collectivités publiques - OHADA"</v>
          </cell>
          <cell r="C750" t="str">
            <v>Impôts et taxes pour les collectivités publiques</v>
          </cell>
          <cell r="D750" t="str">
            <v>OHADA</v>
          </cell>
          <cell r="E750" t="str">
            <v>442000 - État, autres impôts et taxes - OHADA</v>
          </cell>
          <cell r="F750">
            <v>442200</v>
          </cell>
          <cell r="G750" t="str">
            <v>0</v>
          </cell>
          <cell r="H750" t="str">
            <v>Liability</v>
          </cell>
          <cell r="I750" t="str">
            <v>Balance Sheet</v>
          </cell>
          <cell r="J750" t="str">
            <v>XAF</v>
          </cell>
          <cell r="K750" t="str">
            <v>Autres dettes</v>
          </cell>
        </row>
        <row r="751">
          <cell r="A751" t="str">
            <v>A750</v>
          </cell>
          <cell r="B751" t="str">
            <v>"442300 - Impôts et taxes recouvrables sur des obligataires - OHADA"</v>
          </cell>
          <cell r="C751" t="str">
            <v>Impôts et taxes recouvrables sur des obligataires</v>
          </cell>
          <cell r="D751" t="str">
            <v>OHADA</v>
          </cell>
          <cell r="E751" t="str">
            <v>442000 - État, autres impôts et taxes - OHADA</v>
          </cell>
          <cell r="F751">
            <v>442300</v>
          </cell>
          <cell r="G751" t="str">
            <v>0</v>
          </cell>
          <cell r="H751" t="str">
            <v>Liability</v>
          </cell>
          <cell r="I751" t="str">
            <v>Balance Sheet</v>
          </cell>
          <cell r="J751" t="str">
            <v>XAF</v>
          </cell>
          <cell r="K751" t="str">
            <v>Autres dettes</v>
          </cell>
        </row>
        <row r="752">
          <cell r="A752" t="str">
            <v>A751</v>
          </cell>
          <cell r="B752" t="str">
            <v>"442400 - Impôts et taxes recouvrables sur des associés - OHADA"</v>
          </cell>
          <cell r="C752" t="str">
            <v>Impôts et taxes recouvrables sur des associés</v>
          </cell>
          <cell r="D752" t="str">
            <v>OHADA</v>
          </cell>
          <cell r="E752" t="str">
            <v>442000 - État, autres impôts et taxes - OHADA</v>
          </cell>
          <cell r="F752">
            <v>442400</v>
          </cell>
          <cell r="G752" t="str">
            <v>0</v>
          </cell>
          <cell r="H752" t="str">
            <v>Liability</v>
          </cell>
          <cell r="I752" t="str">
            <v>Balance Sheet</v>
          </cell>
          <cell r="J752" t="str">
            <v>XAF</v>
          </cell>
          <cell r="K752" t="str">
            <v>Autres dettes</v>
          </cell>
        </row>
        <row r="753">
          <cell r="A753" t="str">
            <v>A752</v>
          </cell>
          <cell r="B753" t="str">
            <v>"442600 - Droits de douane - OHADA"</v>
          </cell>
          <cell r="C753" t="str">
            <v>Droits de douane</v>
          </cell>
          <cell r="D753" t="str">
            <v>OHADA</v>
          </cell>
          <cell r="E753" t="str">
            <v>442000 - État, autres impôts et taxes - OHADA</v>
          </cell>
          <cell r="F753">
            <v>442600</v>
          </cell>
          <cell r="G753" t="str">
            <v>0</v>
          </cell>
          <cell r="H753" t="str">
            <v>Liability</v>
          </cell>
          <cell r="I753" t="str">
            <v>Balance Sheet</v>
          </cell>
          <cell r="J753" t="str">
            <v>XAF</v>
          </cell>
          <cell r="K753" t="str">
            <v>Autres dettes</v>
          </cell>
        </row>
        <row r="754">
          <cell r="A754" t="str">
            <v>A753</v>
          </cell>
          <cell r="B754" t="str">
            <v>"442800 - Autres impôts et taxes - OHADA"</v>
          </cell>
          <cell r="C754" t="str">
            <v>Autres impôts et taxes</v>
          </cell>
          <cell r="D754" t="str">
            <v>OHADA</v>
          </cell>
          <cell r="E754" t="str">
            <v>442000 - État, autres impôts et taxes - OHADA</v>
          </cell>
          <cell r="F754">
            <v>442800</v>
          </cell>
          <cell r="G754" t="str">
            <v>0</v>
          </cell>
          <cell r="H754" t="str">
            <v>Liability</v>
          </cell>
          <cell r="I754" t="str">
            <v>Balance Sheet</v>
          </cell>
          <cell r="J754" t="str">
            <v>XAF</v>
          </cell>
          <cell r="K754" t="str">
            <v>Autres dettes</v>
          </cell>
        </row>
        <row r="755">
          <cell r="A755" t="str">
            <v>A754</v>
          </cell>
          <cell r="B755" t="str">
            <v>"444000 - État, TVA due ou crédit de TVA - OHADA"</v>
          </cell>
          <cell r="C755" t="str">
            <v>État, TVA due ou crédit de TVA</v>
          </cell>
          <cell r="D755" t="str">
            <v>OHADA</v>
          </cell>
          <cell r="E755" t="str">
            <v>440000 -État et collectivités publiques (PASSIF) - OHADA</v>
          </cell>
          <cell r="F755">
            <v>444000</v>
          </cell>
          <cell r="G755" t="str">
            <v>1</v>
          </cell>
          <cell r="H755" t="str">
            <v>Liability</v>
          </cell>
          <cell r="I755" t="str">
            <v>Balance Sheet</v>
          </cell>
          <cell r="J755" t="str">
            <v>XAF</v>
          </cell>
          <cell r="K755" t="str">
            <v>Autres dettes</v>
          </cell>
        </row>
        <row r="756">
          <cell r="A756" t="str">
            <v>A755</v>
          </cell>
          <cell r="B756" t="str">
            <v>"444100 - État, TVA due - OHADA"</v>
          </cell>
          <cell r="C756" t="str">
            <v>État, TVA due</v>
          </cell>
          <cell r="D756" t="str">
            <v>OHADA</v>
          </cell>
          <cell r="E756" t="str">
            <v>444000 - État, TVA due ou crédit de TVA - OHADA</v>
          </cell>
          <cell r="F756">
            <v>444100</v>
          </cell>
          <cell r="G756" t="str">
            <v>0</v>
          </cell>
          <cell r="H756" t="str">
            <v>Liability</v>
          </cell>
          <cell r="I756" t="str">
            <v>Balance Sheet</v>
          </cell>
          <cell r="J756" t="str">
            <v>XAF</v>
          </cell>
          <cell r="K756" t="str">
            <v>Autres dettes</v>
          </cell>
        </row>
        <row r="757">
          <cell r="A757" t="str">
            <v>A756</v>
          </cell>
          <cell r="B757" t="str">
            <v>"444900 - État, crédit de TVA à reporter - OHADA"</v>
          </cell>
          <cell r="C757" t="str">
            <v>État, crédit de TVA à reporter</v>
          </cell>
          <cell r="D757" t="str">
            <v>OHADA</v>
          </cell>
          <cell r="E757" t="str">
            <v>444000 - État, TVA due ou crédit de TVA - OHADA</v>
          </cell>
          <cell r="F757">
            <v>444900</v>
          </cell>
          <cell r="G757" t="str">
            <v>0</v>
          </cell>
          <cell r="H757" t="str">
            <v>Liability</v>
          </cell>
          <cell r="I757" t="str">
            <v>Balance Sheet</v>
          </cell>
          <cell r="J757" t="str">
            <v>XAF</v>
          </cell>
          <cell r="K757" t="str">
            <v>Autres dettes</v>
          </cell>
        </row>
        <row r="758">
          <cell r="A758" t="str">
            <v>A757</v>
          </cell>
          <cell r="B758" t="str">
            <v>"446000 - État, autres taxes sur le chiffre d’affaires - OHADA"</v>
          </cell>
          <cell r="C758" t="str">
            <v>État, autres taxes sur le chiffre d’affaires</v>
          </cell>
          <cell r="D758" t="str">
            <v>OHADA</v>
          </cell>
          <cell r="E758" t="str">
            <v>440000 -État et collectivités publiques (PASSIF) - OHADA</v>
          </cell>
          <cell r="F758">
            <v>446000</v>
          </cell>
          <cell r="G758" t="str">
            <v>0</v>
          </cell>
          <cell r="H758" t="str">
            <v>Liability</v>
          </cell>
          <cell r="I758" t="str">
            <v>Balance Sheet</v>
          </cell>
          <cell r="J758" t="str">
            <v>XAF</v>
          </cell>
          <cell r="K758" t="str">
            <v>Autres dettes</v>
          </cell>
        </row>
        <row r="759">
          <cell r="A759" t="str">
            <v>A758</v>
          </cell>
          <cell r="B759" t="str">
            <v>"447000 - État, impôts retenus à la source - OHADA"</v>
          </cell>
          <cell r="C759" t="str">
            <v>État, impôts retenus à la source</v>
          </cell>
          <cell r="D759" t="str">
            <v>OHADA</v>
          </cell>
          <cell r="E759" t="str">
            <v>440000 -État et collectivités publiques (PASSIF) - OHADA</v>
          </cell>
          <cell r="F759">
            <v>447000</v>
          </cell>
          <cell r="G759" t="str">
            <v>1</v>
          </cell>
          <cell r="H759" t="str">
            <v>Liability</v>
          </cell>
          <cell r="I759" t="str">
            <v>Balance Sheet</v>
          </cell>
          <cell r="J759" t="str">
            <v>XAF</v>
          </cell>
          <cell r="K759" t="str">
            <v>Autres dettes</v>
          </cell>
        </row>
        <row r="760">
          <cell r="A760" t="str">
            <v>A759</v>
          </cell>
          <cell r="B760" t="str">
            <v>"447100 - Impôt Général sur le revenu - OHADA"</v>
          </cell>
          <cell r="C760" t="str">
            <v>Impôt Général sur le revenu</v>
          </cell>
          <cell r="D760" t="str">
            <v>OHADA</v>
          </cell>
          <cell r="E760" t="str">
            <v>447000 - État, impôts retenus à la source - OHADA</v>
          </cell>
          <cell r="F760">
            <v>447100</v>
          </cell>
          <cell r="G760" t="str">
            <v>0</v>
          </cell>
          <cell r="H760" t="str">
            <v>Liability</v>
          </cell>
          <cell r="I760" t="str">
            <v>Balance Sheet</v>
          </cell>
          <cell r="J760" t="str">
            <v>XAF</v>
          </cell>
          <cell r="K760" t="str">
            <v>Autres dettes</v>
          </cell>
        </row>
        <row r="761">
          <cell r="A761" t="str">
            <v>A760</v>
          </cell>
          <cell r="B761" t="str">
            <v>"447200 - Impôts sur salaires - OHADA"</v>
          </cell>
          <cell r="C761" t="str">
            <v>Impôts sur salaires</v>
          </cell>
          <cell r="D761" t="str">
            <v>OHADA</v>
          </cell>
          <cell r="E761" t="str">
            <v>447000 - État, impôts retenus à la source - OHADA</v>
          </cell>
          <cell r="F761">
            <v>447200</v>
          </cell>
          <cell r="G761" t="str">
            <v>0</v>
          </cell>
          <cell r="H761" t="str">
            <v>Liability</v>
          </cell>
          <cell r="I761" t="str">
            <v>Balance Sheet</v>
          </cell>
          <cell r="J761" t="str">
            <v>XAF</v>
          </cell>
          <cell r="K761" t="str">
            <v>Autres dettes</v>
          </cell>
        </row>
        <row r="762">
          <cell r="A762" t="str">
            <v>A761</v>
          </cell>
          <cell r="B762" t="str">
            <v>"447300 - Contribution nationale - OHADA"</v>
          </cell>
          <cell r="C762" t="str">
            <v>Contribution nationale</v>
          </cell>
          <cell r="D762" t="str">
            <v>OHADA</v>
          </cell>
          <cell r="E762" t="str">
            <v>447000 - État, impôts retenus à la source - OHADA</v>
          </cell>
          <cell r="F762">
            <v>447300</v>
          </cell>
          <cell r="G762" t="str">
            <v>0</v>
          </cell>
          <cell r="H762" t="str">
            <v>Liability</v>
          </cell>
          <cell r="I762" t="str">
            <v>Balance Sheet</v>
          </cell>
          <cell r="J762" t="str">
            <v>XAF</v>
          </cell>
          <cell r="K762" t="str">
            <v>Autres dettes</v>
          </cell>
        </row>
        <row r="763">
          <cell r="A763" t="str">
            <v>A762</v>
          </cell>
          <cell r="B763" t="str">
            <v>"447400 - Contribution nationale de solidarité - OHADA"</v>
          </cell>
          <cell r="C763" t="str">
            <v>Contribution nationale de solidarité</v>
          </cell>
          <cell r="D763" t="str">
            <v>OHADA</v>
          </cell>
          <cell r="E763" t="str">
            <v>447000 - État, impôts retenus à la source - OHADA</v>
          </cell>
          <cell r="F763">
            <v>447400</v>
          </cell>
          <cell r="G763" t="str">
            <v>0</v>
          </cell>
          <cell r="H763" t="str">
            <v>Liability</v>
          </cell>
          <cell r="I763" t="str">
            <v>Balance Sheet</v>
          </cell>
          <cell r="J763" t="str">
            <v>XAF</v>
          </cell>
          <cell r="K763" t="str">
            <v>Autres dettes</v>
          </cell>
        </row>
        <row r="764">
          <cell r="A764" t="str">
            <v>A763</v>
          </cell>
          <cell r="B764" t="str">
            <v>"447800 - Autres impôts et contributions - OHADA"</v>
          </cell>
          <cell r="C764" t="str">
            <v>Autres impôts et contributions</v>
          </cell>
          <cell r="D764" t="str">
            <v>OHADA</v>
          </cell>
          <cell r="E764" t="str">
            <v>447000 - État, impôts retenus à la source - OHADA</v>
          </cell>
          <cell r="F764">
            <v>447800</v>
          </cell>
          <cell r="G764" t="str">
            <v>0</v>
          </cell>
          <cell r="H764" t="str">
            <v>Liability</v>
          </cell>
          <cell r="I764" t="str">
            <v>Balance Sheet</v>
          </cell>
          <cell r="J764" t="str">
            <v>XAF</v>
          </cell>
          <cell r="K764" t="str">
            <v>Autres dettes</v>
          </cell>
        </row>
        <row r="765">
          <cell r="A765" t="str">
            <v>A764</v>
          </cell>
          <cell r="B765" t="str">
            <v>"460000 -Apporteurs, associés et groupe (PASSIF) - OHADA"</v>
          </cell>
          <cell r="C765" t="str">
            <v>46-Apporteurs, associés et groupe (PASSIF)</v>
          </cell>
          <cell r="D765" t="str">
            <v>OHADA</v>
          </cell>
          <cell r="E765" t="str">
            <v>4-Comptes de Tiers (PASSIF) - OHADA</v>
          </cell>
          <cell r="F765">
            <v>460000</v>
          </cell>
          <cell r="G765" t="str">
            <v>1</v>
          </cell>
          <cell r="H765" t="str">
            <v>Liability</v>
          </cell>
          <cell r="I765" t="str">
            <v>Balance Sheet</v>
          </cell>
          <cell r="J765" t="str">
            <v>XAF</v>
          </cell>
          <cell r="K765" t="str">
            <v>Autres dettes</v>
          </cell>
        </row>
        <row r="766">
          <cell r="A766" t="str">
            <v>A765</v>
          </cell>
          <cell r="B766" t="str">
            <v>"461000 -Apporteurs, opérations sur le capital (PASSIF) - OHADA"</v>
          </cell>
          <cell r="C766" t="str">
            <v>461-Apporteurs, opérations sur le capital (PASSIF)</v>
          </cell>
          <cell r="D766" t="str">
            <v>OHADA</v>
          </cell>
          <cell r="E766" t="str">
            <v>460000 -Apporteurs, associés et groupe (PASSIF) - OHADA</v>
          </cell>
          <cell r="F766">
            <v>461000</v>
          </cell>
          <cell r="G766" t="str">
            <v>1</v>
          </cell>
          <cell r="H766" t="str">
            <v>Liability</v>
          </cell>
          <cell r="I766" t="str">
            <v>Balance Sheet</v>
          </cell>
          <cell r="J766" t="str">
            <v>XAF</v>
          </cell>
          <cell r="K766" t="str">
            <v>Autres dettes</v>
          </cell>
        </row>
        <row r="767">
          <cell r="A767" t="str">
            <v>A766</v>
          </cell>
          <cell r="B767" t="str">
            <v>"461100 - Apporteurs, apports en nature - OHADA"</v>
          </cell>
          <cell r="C767" t="str">
            <v>Apporteurs, apports en nature</v>
          </cell>
          <cell r="D767" t="str">
            <v>OHADA</v>
          </cell>
          <cell r="E767" t="str">
            <v>461000 -Apporteurs, opérations sur le capital (PASSIF) - OHADA</v>
          </cell>
          <cell r="F767">
            <v>461100</v>
          </cell>
          <cell r="G767" t="str">
            <v>0</v>
          </cell>
          <cell r="H767" t="str">
            <v>Liability</v>
          </cell>
          <cell r="I767" t="str">
            <v>Balance Sheet</v>
          </cell>
          <cell r="J767" t="str">
            <v>XAF</v>
          </cell>
          <cell r="K767" t="str">
            <v>Autres dettes</v>
          </cell>
        </row>
        <row r="768">
          <cell r="A768" t="str">
            <v>A767</v>
          </cell>
          <cell r="B768" t="str">
            <v>"461200 - Apporteurs, apports en numéraire - OHADA"</v>
          </cell>
          <cell r="C768" t="str">
            <v>Apporteurs, apports en numéraire</v>
          </cell>
          <cell r="D768" t="str">
            <v>OHADA</v>
          </cell>
          <cell r="E768" t="str">
            <v>461000 -Apporteurs, opérations sur le capital (PASSIF) - OHADA</v>
          </cell>
          <cell r="F768">
            <v>461200</v>
          </cell>
          <cell r="G768" t="str">
            <v>0</v>
          </cell>
          <cell r="H768" t="str">
            <v>Liability</v>
          </cell>
          <cell r="I768" t="str">
            <v>Balance Sheet</v>
          </cell>
          <cell r="J768" t="str">
            <v>XAF</v>
          </cell>
          <cell r="K768" t="str">
            <v>Autres dettes</v>
          </cell>
        </row>
        <row r="769">
          <cell r="A769" t="str">
            <v>A768</v>
          </cell>
          <cell r="B769" t="str">
            <v>"461500 - Apporteurs, versements reçus sur augmentation de capital - OHADA"</v>
          </cell>
          <cell r="C769" t="str">
            <v>Apporteurs, versements reçus sur augmentation de capital</v>
          </cell>
          <cell r="D769" t="str">
            <v>OHADA</v>
          </cell>
          <cell r="E769" t="str">
            <v>461000 -Apporteurs, opérations sur le capital (PASSIF) - OHADA</v>
          </cell>
          <cell r="F769">
            <v>461500</v>
          </cell>
          <cell r="G769" t="str">
            <v>0</v>
          </cell>
          <cell r="H769" t="str">
            <v>Liability</v>
          </cell>
          <cell r="I769" t="str">
            <v>Balance Sheet</v>
          </cell>
          <cell r="J769" t="str">
            <v>XAF</v>
          </cell>
          <cell r="K769" t="str">
            <v>Autres dettes</v>
          </cell>
        </row>
        <row r="770">
          <cell r="A770" t="str">
            <v>A769</v>
          </cell>
          <cell r="B770" t="str">
            <v>"461600 - Apporteurs, versements anticipés - OHADA"</v>
          </cell>
          <cell r="C770" t="str">
            <v>Apporteurs, versements anticipés</v>
          </cell>
          <cell r="D770" t="str">
            <v>OHADA</v>
          </cell>
          <cell r="E770" t="str">
            <v>461000 -Apporteurs, opérations sur le capital (PASSIF) - OHADA</v>
          </cell>
          <cell r="F770">
            <v>461600</v>
          </cell>
          <cell r="G770" t="str">
            <v>0</v>
          </cell>
          <cell r="H770" t="str">
            <v>Liability</v>
          </cell>
          <cell r="I770" t="str">
            <v>Balance Sheet</v>
          </cell>
          <cell r="J770" t="str">
            <v>XAF</v>
          </cell>
          <cell r="K770" t="str">
            <v>Autres dettes</v>
          </cell>
        </row>
        <row r="771">
          <cell r="A771" t="str">
            <v>A770</v>
          </cell>
          <cell r="B771" t="str">
            <v>"461700 - Apporteurs défaillants - OHADA"</v>
          </cell>
          <cell r="C771" t="str">
            <v>Apporteurs défaillants</v>
          </cell>
          <cell r="D771" t="str">
            <v>OHADA</v>
          </cell>
          <cell r="E771" t="str">
            <v>461000 -Apporteurs, opérations sur le capital (PASSIF) - OHADA</v>
          </cell>
          <cell r="F771">
            <v>461700</v>
          </cell>
          <cell r="G771" t="str">
            <v>0</v>
          </cell>
          <cell r="H771" t="str">
            <v>Liability</v>
          </cell>
          <cell r="I771" t="str">
            <v>Balance Sheet</v>
          </cell>
          <cell r="J771" t="str">
            <v>XAF</v>
          </cell>
          <cell r="K771" t="str">
            <v>Autres dettes</v>
          </cell>
        </row>
        <row r="772">
          <cell r="A772" t="str">
            <v>A771</v>
          </cell>
          <cell r="B772" t="str">
            <v>"461900 - Apporteurs, capital à rembourser - OHADA"</v>
          </cell>
          <cell r="C772" t="str">
            <v>Apporteurs, capital à rembourser</v>
          </cell>
          <cell r="D772" t="str">
            <v>OHADA</v>
          </cell>
          <cell r="E772" t="str">
            <v>461000 -Apporteurs, opérations sur le capital (PASSIF) - OHADA</v>
          </cell>
          <cell r="F772">
            <v>461900</v>
          </cell>
          <cell r="G772" t="str">
            <v>0</v>
          </cell>
          <cell r="H772" t="str">
            <v>Liability</v>
          </cell>
          <cell r="I772" t="str">
            <v>Balance Sheet</v>
          </cell>
          <cell r="J772" t="str">
            <v>XAF</v>
          </cell>
          <cell r="K772" t="str">
            <v>Autres dettes</v>
          </cell>
        </row>
        <row r="773">
          <cell r="A773" t="str">
            <v>A772</v>
          </cell>
          <cell r="B773" t="str">
            <v>"462000 -Associés, comptes courants - OHADA"</v>
          </cell>
          <cell r="C773" t="str">
            <v>462-Associés, comptes courants</v>
          </cell>
          <cell r="D773" t="str">
            <v>OHADA</v>
          </cell>
          <cell r="E773" t="str">
            <v>460000 -Apporteurs, associés et groupe (PASSIF) - OHADA</v>
          </cell>
          <cell r="F773">
            <v>462000</v>
          </cell>
          <cell r="G773" t="str">
            <v>1</v>
          </cell>
          <cell r="H773" t="str">
            <v>Liability</v>
          </cell>
          <cell r="I773" t="str">
            <v>Balance Sheet</v>
          </cell>
          <cell r="J773" t="str">
            <v>XAF</v>
          </cell>
          <cell r="K773" t="str">
            <v>Autres dettes</v>
          </cell>
        </row>
        <row r="774">
          <cell r="A774" t="str">
            <v>A773</v>
          </cell>
          <cell r="B774" t="str">
            <v>"462100 - Principal - OHADA"</v>
          </cell>
          <cell r="C774" t="str">
            <v>Principal</v>
          </cell>
          <cell r="D774" t="str">
            <v>OHADA</v>
          </cell>
          <cell r="E774" t="str">
            <v>462000 -Associés, comptes courants - OHADA</v>
          </cell>
          <cell r="F774">
            <v>462100</v>
          </cell>
          <cell r="G774" t="str">
            <v>0</v>
          </cell>
          <cell r="H774" t="str">
            <v>Liability</v>
          </cell>
          <cell r="I774" t="str">
            <v>Balance Sheet</v>
          </cell>
          <cell r="J774" t="str">
            <v>XAF</v>
          </cell>
          <cell r="K774" t="str">
            <v>Autres dettes</v>
          </cell>
        </row>
        <row r="775">
          <cell r="A775" t="str">
            <v>A774</v>
          </cell>
          <cell r="B775" t="str">
            <v>"462600 - Intérêts courus - OHADA"</v>
          </cell>
          <cell r="C775" t="str">
            <v>Intérêts courus</v>
          </cell>
          <cell r="D775" t="str">
            <v>OHADA</v>
          </cell>
          <cell r="E775" t="str">
            <v>462000 -Associés, comptes courants - OHADA</v>
          </cell>
          <cell r="F775">
            <v>462600</v>
          </cell>
          <cell r="G775" t="str">
            <v>0</v>
          </cell>
          <cell r="H775" t="str">
            <v>Liability</v>
          </cell>
          <cell r="I775" t="str">
            <v>Balance Sheet</v>
          </cell>
          <cell r="J775" t="str">
            <v>XAF</v>
          </cell>
          <cell r="K775" t="str">
            <v>Autres dettes</v>
          </cell>
        </row>
        <row r="776">
          <cell r="A776" t="str">
            <v>A775</v>
          </cell>
          <cell r="B776" t="str">
            <v>"463000 -Associés, opérations faites en commun et GIE - OHADA"</v>
          </cell>
          <cell r="C776" t="str">
            <v>463-Associés, opérations faites en commun et GIE</v>
          </cell>
          <cell r="D776" t="str">
            <v>OHADA</v>
          </cell>
          <cell r="E776" t="str">
            <v>460000 -Apporteurs, associés et groupe (PASSIF) - OHADA</v>
          </cell>
          <cell r="F776">
            <v>463000</v>
          </cell>
          <cell r="G776" t="str">
            <v>1</v>
          </cell>
          <cell r="H776" t="str">
            <v>Liability</v>
          </cell>
          <cell r="I776" t="str">
            <v>Balance Sheet</v>
          </cell>
          <cell r="J776" t="str">
            <v>XAF</v>
          </cell>
          <cell r="K776" t="str">
            <v>Autres dettes</v>
          </cell>
        </row>
        <row r="777">
          <cell r="A777" t="str">
            <v>A776</v>
          </cell>
          <cell r="B777" t="str">
            <v>"463100 - Opérations courantes - OHADA"</v>
          </cell>
          <cell r="C777" t="str">
            <v>Opérations courantes</v>
          </cell>
          <cell r="D777" t="str">
            <v>OHADA</v>
          </cell>
          <cell r="E777" t="str">
            <v>463000 -Associés, opérations faites en commun et GIE - OHADA</v>
          </cell>
          <cell r="F777">
            <v>463100</v>
          </cell>
          <cell r="G777" t="str">
            <v>0</v>
          </cell>
          <cell r="H777" t="str">
            <v>Liability</v>
          </cell>
          <cell r="I777" t="str">
            <v>Balance Sheet</v>
          </cell>
          <cell r="J777" t="str">
            <v>XAF</v>
          </cell>
          <cell r="K777" t="str">
            <v>Autres dettes</v>
          </cell>
        </row>
        <row r="778">
          <cell r="A778" t="str">
            <v>A777</v>
          </cell>
          <cell r="B778" t="str">
            <v>"463600 - Intérêts courus - OHADA"</v>
          </cell>
          <cell r="C778" t="str">
            <v>Intérêts courus</v>
          </cell>
          <cell r="D778" t="str">
            <v>OHADA</v>
          </cell>
          <cell r="E778" t="str">
            <v>463000 -Associés, opérations faites en commun et GIE - OHADA</v>
          </cell>
          <cell r="F778">
            <v>463600</v>
          </cell>
          <cell r="G778" t="str">
            <v>0</v>
          </cell>
          <cell r="H778" t="str">
            <v>Liability</v>
          </cell>
          <cell r="I778" t="str">
            <v>Balance Sheet</v>
          </cell>
          <cell r="J778" t="str">
            <v>XAF</v>
          </cell>
          <cell r="K778" t="str">
            <v>Autres dettes</v>
          </cell>
        </row>
        <row r="779">
          <cell r="A779" t="str">
            <v>A778</v>
          </cell>
          <cell r="B779" t="str">
            <v>"465000 - Associés, dividendes à payer - OHADA"</v>
          </cell>
          <cell r="C779" t="str">
            <v>Associés, dividendes à payer</v>
          </cell>
          <cell r="D779" t="str">
            <v>OHADA</v>
          </cell>
          <cell r="E779" t="str">
            <v>460000 -Apporteurs, associés et groupe (PASSIF) - OHADA</v>
          </cell>
          <cell r="F779">
            <v>465000</v>
          </cell>
          <cell r="G779" t="str">
            <v>0</v>
          </cell>
          <cell r="H779" t="str">
            <v>Liability</v>
          </cell>
          <cell r="I779" t="str">
            <v>Balance Sheet</v>
          </cell>
          <cell r="J779" t="str">
            <v>XAF</v>
          </cell>
          <cell r="K779" t="str">
            <v>Autres dettes</v>
          </cell>
        </row>
        <row r="780">
          <cell r="A780" t="str">
            <v>A779</v>
          </cell>
          <cell r="B780" t="str">
            <v>"466000 - Groupe, comptes courants - OHADA"</v>
          </cell>
          <cell r="C780" t="str">
            <v>Groupe, comptes courants</v>
          </cell>
          <cell r="D780" t="str">
            <v>OHADA</v>
          </cell>
          <cell r="E780" t="str">
            <v>460000 -Apporteurs, associés et groupe (PASSIF) - OHADA</v>
          </cell>
          <cell r="F780">
            <v>466000</v>
          </cell>
          <cell r="G780" t="str">
            <v>0</v>
          </cell>
          <cell r="H780" t="str">
            <v>Liability</v>
          </cell>
          <cell r="I780" t="str">
            <v>Balance Sheet</v>
          </cell>
          <cell r="J780" t="str">
            <v>XAF</v>
          </cell>
          <cell r="K780" t="str">
            <v>Autres dettes</v>
          </cell>
        </row>
        <row r="781">
          <cell r="A781" t="str">
            <v>A780</v>
          </cell>
          <cell r="B781" t="str">
            <v>"470000 -Débiteurs et créditeurs divers (PASSIF) - OHADA"</v>
          </cell>
          <cell r="C781" t="str">
            <v>47-Débiteurs et créditeurs divers (PASSIF)</v>
          </cell>
          <cell r="D781" t="str">
            <v>OHADA</v>
          </cell>
          <cell r="E781" t="str">
            <v>4-Comptes de Tiers (PASSIF) - OHADA</v>
          </cell>
          <cell r="F781">
            <v>470000</v>
          </cell>
          <cell r="G781" t="str">
            <v>1</v>
          </cell>
          <cell r="H781" t="str">
            <v>Liability</v>
          </cell>
          <cell r="I781" t="str">
            <v>Balance Sheet</v>
          </cell>
          <cell r="J781" t="str">
            <v>XAF</v>
          </cell>
          <cell r="K781" t="str">
            <v>Autres dettes</v>
          </cell>
        </row>
        <row r="782">
          <cell r="A782" t="str">
            <v>A781</v>
          </cell>
          <cell r="B782" t="str">
            <v>"471000 -Débiteurs et créditeurs divers - OHADA"</v>
          </cell>
          <cell r="C782" t="str">
            <v>471-Débiteurs et créditeurs divers</v>
          </cell>
          <cell r="D782" t="str">
            <v>OHADA</v>
          </cell>
          <cell r="E782" t="str">
            <v>470000 -Débiteurs et créditeurs divers (PASSIF) - OHADA</v>
          </cell>
          <cell r="F782">
            <v>471000</v>
          </cell>
          <cell r="G782" t="str">
            <v>1</v>
          </cell>
          <cell r="H782" t="str">
            <v>Liability</v>
          </cell>
          <cell r="I782" t="str">
            <v>Balance Sheet</v>
          </cell>
          <cell r="J782" t="str">
            <v>XAF</v>
          </cell>
          <cell r="K782" t="str">
            <v>Autres dettes</v>
          </cell>
        </row>
        <row r="783">
          <cell r="A783" t="str">
            <v>A782</v>
          </cell>
          <cell r="B783" t="str">
            <v>"471100 - Débiteurs divers - OHADA"</v>
          </cell>
          <cell r="C783" t="str">
            <v>Débiteurs divers</v>
          </cell>
          <cell r="D783" t="str">
            <v>OHADA</v>
          </cell>
          <cell r="E783" t="str">
            <v>471000 -Débiteurs et créditeurs divers - OHADA</v>
          </cell>
          <cell r="F783">
            <v>471100</v>
          </cell>
          <cell r="G783" t="str">
            <v>0</v>
          </cell>
          <cell r="H783" t="str">
            <v>Liability</v>
          </cell>
          <cell r="I783" t="str">
            <v>Balance Sheet</v>
          </cell>
          <cell r="J783" t="str">
            <v>XAF</v>
          </cell>
          <cell r="K783" t="str">
            <v>Autres dettes</v>
          </cell>
        </row>
        <row r="784">
          <cell r="A784" t="str">
            <v>A783</v>
          </cell>
          <cell r="B784" t="str">
            <v>"471200 - Créditeurs divers - OHADA"</v>
          </cell>
          <cell r="C784" t="str">
            <v>Créditeurs divers</v>
          </cell>
          <cell r="D784" t="str">
            <v>OHADA</v>
          </cell>
          <cell r="E784" t="str">
            <v>471000 -Débiteurs et créditeurs divers - OHADA</v>
          </cell>
          <cell r="F784">
            <v>471200</v>
          </cell>
          <cell r="G784" t="str">
            <v>0</v>
          </cell>
          <cell r="H784" t="str">
            <v>Liability</v>
          </cell>
          <cell r="I784" t="str">
            <v>Balance Sheet</v>
          </cell>
          <cell r="J784" t="str">
            <v>XAF</v>
          </cell>
          <cell r="K784" t="str">
            <v>Autres dettes</v>
          </cell>
        </row>
        <row r="785">
          <cell r="A785" t="str">
            <v>A784</v>
          </cell>
          <cell r="B785" t="str">
            <v>"471300 - Obligataires - OHADA"</v>
          </cell>
          <cell r="C785" t="str">
            <v>Obligataires</v>
          </cell>
          <cell r="D785" t="str">
            <v>OHADA</v>
          </cell>
          <cell r="E785" t="str">
            <v>471000 -Débiteurs et créditeurs divers - OHADA</v>
          </cell>
          <cell r="F785">
            <v>471300</v>
          </cell>
          <cell r="G785" t="str">
            <v>0</v>
          </cell>
          <cell r="H785" t="str">
            <v>Liability</v>
          </cell>
          <cell r="I785" t="str">
            <v>Balance Sheet</v>
          </cell>
          <cell r="J785" t="str">
            <v>XAF</v>
          </cell>
          <cell r="K785" t="str">
            <v>Autres dettes</v>
          </cell>
        </row>
        <row r="786">
          <cell r="A786" t="str">
            <v>A785</v>
          </cell>
          <cell r="B786" t="str">
            <v>"471500 - Rémunérations d’administrateurs - OHADA"</v>
          </cell>
          <cell r="C786" t="str">
            <v>Rémunérations d’administrateurs</v>
          </cell>
          <cell r="D786" t="str">
            <v>OHADA</v>
          </cell>
          <cell r="E786" t="str">
            <v>471000 -Débiteurs et créditeurs divers - OHADA</v>
          </cell>
          <cell r="F786">
            <v>471500</v>
          </cell>
          <cell r="G786" t="str">
            <v>0</v>
          </cell>
          <cell r="H786" t="str">
            <v>Liability</v>
          </cell>
          <cell r="I786" t="str">
            <v>Balance Sheet</v>
          </cell>
          <cell r="J786" t="str">
            <v>XAF</v>
          </cell>
          <cell r="K786" t="str">
            <v>Autres dettes</v>
          </cell>
        </row>
        <row r="787">
          <cell r="A787" t="str">
            <v>A786</v>
          </cell>
          <cell r="B787" t="str">
            <v>"471600 - Compte d’affacturage - OHADA"</v>
          </cell>
          <cell r="C787" t="str">
            <v>Compte d’affacturage</v>
          </cell>
          <cell r="D787" t="str">
            <v>OHADA</v>
          </cell>
          <cell r="E787" t="str">
            <v>471000 -Débiteurs et créditeurs divers - OHADA</v>
          </cell>
          <cell r="F787">
            <v>471600</v>
          </cell>
          <cell r="G787" t="str">
            <v>0</v>
          </cell>
          <cell r="H787" t="str">
            <v>Liability</v>
          </cell>
          <cell r="I787" t="str">
            <v>Balance Sheet</v>
          </cell>
          <cell r="J787" t="str">
            <v>XAF</v>
          </cell>
          <cell r="K787" t="str">
            <v>Autres dettes</v>
          </cell>
        </row>
        <row r="788">
          <cell r="A788" t="str">
            <v>A787</v>
          </cell>
          <cell r="B788" t="str">
            <v>"471700 - Débiteurs divers retenues de garantie - OHADA"</v>
          </cell>
          <cell r="C788" t="str">
            <v>Débiteurs divers retenues de garantie</v>
          </cell>
          <cell r="D788" t="str">
            <v>OHADA</v>
          </cell>
          <cell r="E788" t="str">
            <v>471000 -Débiteurs et créditeurs divers - OHADA</v>
          </cell>
          <cell r="F788">
            <v>471700</v>
          </cell>
          <cell r="G788" t="str">
            <v>0</v>
          </cell>
          <cell r="H788" t="str">
            <v>Liability</v>
          </cell>
          <cell r="I788" t="str">
            <v>Balance Sheet</v>
          </cell>
          <cell r="J788" t="str">
            <v>XAF</v>
          </cell>
          <cell r="K788" t="str">
            <v>Autres dettes</v>
          </cell>
        </row>
        <row r="789">
          <cell r="A789" t="str">
            <v>A788</v>
          </cell>
          <cell r="B789" t="str">
            <v>"471800 - Apport, compte de fusion et opérations assimilées - OHADA"</v>
          </cell>
          <cell r="C789" t="str">
            <v>Apport, compte de fusion et opérations assimilées</v>
          </cell>
          <cell r="D789" t="str">
            <v>OHADA</v>
          </cell>
          <cell r="E789" t="str">
            <v>471000 -Débiteurs et créditeurs divers - OHADA</v>
          </cell>
          <cell r="F789">
            <v>471800</v>
          </cell>
          <cell r="G789" t="str">
            <v>0</v>
          </cell>
          <cell r="H789" t="str">
            <v>Liability</v>
          </cell>
          <cell r="I789" t="str">
            <v>Balance Sheet</v>
          </cell>
          <cell r="J789" t="str">
            <v>XAF</v>
          </cell>
          <cell r="K789" t="str">
            <v>Autres dettes</v>
          </cell>
        </row>
        <row r="790">
          <cell r="A790" t="str">
            <v>A789</v>
          </cell>
          <cell r="B790" t="str">
            <v>"471900 - Bons de souscription d’actions et d’obligations - OHADA"</v>
          </cell>
          <cell r="C790" t="str">
            <v>Bons de souscription d’actions et d’obligations</v>
          </cell>
          <cell r="D790" t="str">
            <v>OHADA</v>
          </cell>
          <cell r="E790" t="str">
            <v>471000 -Débiteurs et créditeurs divers - OHADA</v>
          </cell>
          <cell r="F790">
            <v>471900</v>
          </cell>
          <cell r="G790" t="str">
            <v>0</v>
          </cell>
          <cell r="H790" t="str">
            <v>Liability</v>
          </cell>
          <cell r="I790" t="str">
            <v>Balance Sheet</v>
          </cell>
          <cell r="J790" t="str">
            <v>XAF</v>
          </cell>
          <cell r="K790" t="str">
            <v>Autres dettes</v>
          </cell>
        </row>
        <row r="791">
          <cell r="A791" t="str">
            <v>A790</v>
          </cell>
          <cell r="B791" t="str">
            <v>"474000 -Compte de répartition périodique des charges et des produits (PASSIF) - OHADA"</v>
          </cell>
          <cell r="C791" t="str">
            <v>474-Compte de répartition périodique des charges et des produits (PASSIF)</v>
          </cell>
          <cell r="D791" t="str">
            <v>OHADA</v>
          </cell>
          <cell r="E791" t="str">
            <v>470000 -Débiteurs et créditeurs divers (PASSIF) - OHADA</v>
          </cell>
          <cell r="F791">
            <v>474000</v>
          </cell>
          <cell r="G791" t="str">
            <v>1</v>
          </cell>
          <cell r="H791" t="str">
            <v>Liability</v>
          </cell>
          <cell r="I791" t="str">
            <v>Balance Sheet</v>
          </cell>
          <cell r="J791" t="str">
            <v>XAF</v>
          </cell>
          <cell r="K791" t="str">
            <v>Autres dettes</v>
          </cell>
        </row>
        <row r="792">
          <cell r="A792" t="str">
            <v>A791</v>
          </cell>
          <cell r="B792" t="str">
            <v>"474600 - Compte de répartition périodique des charges - OHADA"</v>
          </cell>
          <cell r="C792" t="str">
            <v>Compte de répartition périodique des charges</v>
          </cell>
          <cell r="D792" t="str">
            <v>OHADA</v>
          </cell>
          <cell r="E792" t="str">
            <v>474000 -Compte de répartition périodique des charges et des produits (PASSIF) - OHADA</v>
          </cell>
          <cell r="F792">
            <v>474600</v>
          </cell>
          <cell r="G792" t="str">
            <v>0</v>
          </cell>
          <cell r="H792" t="str">
            <v>Liability</v>
          </cell>
          <cell r="I792" t="str">
            <v>Balance Sheet</v>
          </cell>
          <cell r="J792" t="str">
            <v>XAF</v>
          </cell>
          <cell r="K792" t="str">
            <v>Autres dettes</v>
          </cell>
        </row>
        <row r="793">
          <cell r="A793" t="str">
            <v>A792</v>
          </cell>
          <cell r="B793" t="str">
            <v>"475000 -Compte transitoire, ajustement spécial lié à la révision du SYSCOHADA (PASSIF) - OHADA"</v>
          </cell>
          <cell r="C793" t="str">
            <v>475-Compte transitoire, ajustement spécial lié à la révision du SYSCOHADA (PASSIF)</v>
          </cell>
          <cell r="D793" t="str">
            <v>OHADA</v>
          </cell>
          <cell r="E793" t="str">
            <v>470000 -Débiteurs et créditeurs divers (PASSIF) - OHADA</v>
          </cell>
          <cell r="F793">
            <v>475000</v>
          </cell>
          <cell r="G793" t="str">
            <v>1</v>
          </cell>
          <cell r="H793" t="str">
            <v>Liability</v>
          </cell>
          <cell r="I793" t="str">
            <v>Balance Sheet</v>
          </cell>
          <cell r="J793" t="str">
            <v>XAF</v>
          </cell>
          <cell r="K793" t="str">
            <v>Autres dettes</v>
          </cell>
        </row>
        <row r="794">
          <cell r="A794" t="str">
            <v>A793</v>
          </cell>
          <cell r="B794" t="str">
            <v>"475200 - Compte passif - OHADA"</v>
          </cell>
          <cell r="C794" t="str">
            <v>Compte passif</v>
          </cell>
          <cell r="D794" t="str">
            <v>OHADA</v>
          </cell>
          <cell r="E794" t="str">
            <v>475000 -Compte transitoire, ajustement spécial lié à la révision du SYSCOHADA (PASSIF) - OHADA</v>
          </cell>
          <cell r="F794">
            <v>475200</v>
          </cell>
          <cell r="G794" t="str">
            <v>0</v>
          </cell>
          <cell r="H794" t="str">
            <v>Liability</v>
          </cell>
          <cell r="I794" t="str">
            <v>Balance Sheet</v>
          </cell>
          <cell r="J794" t="str">
            <v>XAF</v>
          </cell>
          <cell r="K794" t="str">
            <v>Autres dettes</v>
          </cell>
        </row>
        <row r="795">
          <cell r="A795" t="str">
            <v>A794</v>
          </cell>
          <cell r="B795" t="str">
            <v>"477000 - Produits constatés d’avance - OHADA"</v>
          </cell>
          <cell r="C795" t="str">
            <v>Produits constatés d’avance</v>
          </cell>
          <cell r="D795" t="str">
            <v>OHADA</v>
          </cell>
          <cell r="E795" t="str">
            <v>470000 -Débiteurs et créditeurs divers (PASSIF) - OHADA</v>
          </cell>
          <cell r="F795">
            <v>477000</v>
          </cell>
          <cell r="G795" t="str">
            <v>0</v>
          </cell>
          <cell r="H795" t="str">
            <v>Liability</v>
          </cell>
          <cell r="I795" t="str">
            <v>Balance Sheet</v>
          </cell>
          <cell r="J795" t="str">
            <v>XAF</v>
          </cell>
          <cell r="K795" t="str">
            <v>Autres dettes</v>
          </cell>
        </row>
        <row r="796">
          <cell r="A796" t="str">
            <v>A795</v>
          </cell>
          <cell r="B796" t="str">
            <v>"479000 -Écarts de conversion passif - OHADA"</v>
          </cell>
          <cell r="C796" t="str">
            <v>479-Écarts de conversion passif</v>
          </cell>
          <cell r="D796" t="str">
            <v>OHADA</v>
          </cell>
          <cell r="E796" t="str">
            <v>470000 -Débiteurs et créditeurs divers (PASSIF) - OHADA</v>
          </cell>
          <cell r="F796">
            <v>479000</v>
          </cell>
          <cell r="G796" t="str">
            <v>1</v>
          </cell>
          <cell r="H796" t="str">
            <v>Liability</v>
          </cell>
          <cell r="I796" t="str">
            <v>Balance Sheet</v>
          </cell>
          <cell r="J796" t="str">
            <v>XAF</v>
          </cell>
          <cell r="K796" t="str">
            <v>Ecart de conversion - passif </v>
          </cell>
        </row>
        <row r="797">
          <cell r="A797" t="str">
            <v>A796</v>
          </cell>
          <cell r="B797" t="str">
            <v>"479100 - Augmentation des créances d’exploitation - OHADA"</v>
          </cell>
          <cell r="C797" t="str">
            <v>Augmentation des créances d’exploitation</v>
          </cell>
          <cell r="D797" t="str">
            <v>OHADA</v>
          </cell>
          <cell r="E797" t="str">
            <v>479000 -Écarts de conversion passif - OHADA</v>
          </cell>
          <cell r="F797">
            <v>479100</v>
          </cell>
          <cell r="G797" t="str">
            <v>0</v>
          </cell>
          <cell r="H797" t="str">
            <v>Liability</v>
          </cell>
          <cell r="I797" t="str">
            <v>Balance Sheet</v>
          </cell>
          <cell r="J797" t="str">
            <v>XAF</v>
          </cell>
          <cell r="K797" t="str">
            <v>Ecart de conversion - passif </v>
          </cell>
        </row>
        <row r="798">
          <cell r="A798" t="str">
            <v>A797</v>
          </cell>
          <cell r="B798" t="str">
            <v>"479200 - Augmentation des créances financières - OHADA"</v>
          </cell>
          <cell r="C798" t="str">
            <v>Augmentation des créances financières</v>
          </cell>
          <cell r="D798" t="str">
            <v>OHADA</v>
          </cell>
          <cell r="E798" t="str">
            <v>479000 -Écarts de conversion passif - OHADA</v>
          </cell>
          <cell r="F798">
            <v>479200</v>
          </cell>
          <cell r="G798" t="str">
            <v>0</v>
          </cell>
          <cell r="H798" t="str">
            <v>Liability</v>
          </cell>
          <cell r="I798" t="str">
            <v>Balance Sheet</v>
          </cell>
          <cell r="J798" t="str">
            <v>XAF</v>
          </cell>
          <cell r="K798" t="str">
            <v>Ecart de conversion - passif </v>
          </cell>
        </row>
        <row r="799">
          <cell r="A799" t="str">
            <v>A798</v>
          </cell>
          <cell r="B799" t="str">
            <v>"479300 - Diminution des dettes d’exploitation - OHADA"</v>
          </cell>
          <cell r="C799" t="str">
            <v>Diminution des dettes d’exploitation</v>
          </cell>
          <cell r="D799" t="str">
            <v>OHADA</v>
          </cell>
          <cell r="E799" t="str">
            <v>479000 -Écarts de conversion passif - OHADA</v>
          </cell>
          <cell r="F799">
            <v>479300</v>
          </cell>
          <cell r="G799" t="str">
            <v>0</v>
          </cell>
          <cell r="H799" t="str">
            <v>Liability</v>
          </cell>
          <cell r="I799" t="str">
            <v>Balance Sheet</v>
          </cell>
          <cell r="J799" t="str">
            <v>XAF</v>
          </cell>
          <cell r="K799" t="str">
            <v>Ecart de conversion - passif </v>
          </cell>
        </row>
        <row r="800">
          <cell r="A800" t="str">
            <v>A799</v>
          </cell>
          <cell r="B800" t="str">
            <v>"479400 - Diminution des dettes financières - OHADA"</v>
          </cell>
          <cell r="C800" t="str">
            <v>Diminution des dettes financières</v>
          </cell>
          <cell r="D800" t="str">
            <v>OHADA</v>
          </cell>
          <cell r="E800" t="str">
            <v>479000 -Écarts de conversion passif - OHADA</v>
          </cell>
          <cell r="F800">
            <v>479400</v>
          </cell>
          <cell r="G800" t="str">
            <v>0</v>
          </cell>
          <cell r="H800" t="str">
            <v>Liability</v>
          </cell>
          <cell r="I800" t="str">
            <v>Balance Sheet</v>
          </cell>
          <cell r="J800" t="str">
            <v>XAF</v>
          </cell>
          <cell r="K800" t="str">
            <v>Ecart de conversion - passif </v>
          </cell>
        </row>
        <row r="801">
          <cell r="A801" t="str">
            <v>A800</v>
          </cell>
          <cell r="B801" t="str">
            <v>"479700 - Différences d’évaluation sur instruments de trésorerie - OHADA"</v>
          </cell>
          <cell r="C801" t="str">
            <v>Différences d’évaluation sur instruments de trésorerie</v>
          </cell>
          <cell r="D801" t="str">
            <v>OHADA</v>
          </cell>
          <cell r="E801" t="str">
            <v>479000 -Écarts de conversion passif - OHADA</v>
          </cell>
          <cell r="F801">
            <v>479700</v>
          </cell>
          <cell r="G801" t="str">
            <v>0</v>
          </cell>
          <cell r="H801" t="str">
            <v>Liability</v>
          </cell>
          <cell r="I801" t="str">
            <v>Balance Sheet</v>
          </cell>
          <cell r="J801" t="str">
            <v>XAF</v>
          </cell>
          <cell r="K801" t="str">
            <v>Ecart de conversion - passif </v>
          </cell>
        </row>
        <row r="802">
          <cell r="A802" t="str">
            <v>A801</v>
          </cell>
          <cell r="B802" t="str">
            <v>"479800 - Différences compensées par couverture de change - OHADA"</v>
          </cell>
          <cell r="C802" t="str">
            <v>Différences compensées par couverture de change</v>
          </cell>
          <cell r="D802" t="str">
            <v>OHADA</v>
          </cell>
          <cell r="E802" t="str">
            <v>479000 -Écarts de conversion passif - OHADA</v>
          </cell>
          <cell r="F802">
            <v>479800</v>
          </cell>
          <cell r="G802" t="str">
            <v>0</v>
          </cell>
          <cell r="H802" t="str">
            <v>Liability</v>
          </cell>
          <cell r="I802" t="str">
            <v>Balance Sheet</v>
          </cell>
          <cell r="J802" t="str">
            <v>XAF</v>
          </cell>
          <cell r="K802" t="str">
            <v>Ecart de conversion - passif </v>
          </cell>
        </row>
        <row r="803">
          <cell r="A803" t="str">
            <v>A802</v>
          </cell>
          <cell r="B803" t="str">
            <v>"480000 -Créances et dettes hors activités ordinaires (HAO) (PASSIF) - OHADA"</v>
          </cell>
          <cell r="C803" t="str">
            <v>48-Créances et dettes hors activités ordinaires (HAO) (PASSIF)</v>
          </cell>
          <cell r="D803" t="str">
            <v>OHADA</v>
          </cell>
          <cell r="E803" t="str">
            <v>4-Comptes de Tiers (PASSIF) - OHADA</v>
          </cell>
          <cell r="F803">
            <v>480000</v>
          </cell>
          <cell r="G803" t="str">
            <v>1</v>
          </cell>
          <cell r="H803" t="str">
            <v>Liability</v>
          </cell>
          <cell r="I803" t="str">
            <v>Balance Sheet</v>
          </cell>
          <cell r="J803" t="str">
            <v>XAF</v>
          </cell>
        </row>
        <row r="804">
          <cell r="A804" t="str">
            <v>A803</v>
          </cell>
          <cell r="B804" t="str">
            <v>"481000 - Fournisseurs d’investissements - OHADA"</v>
          </cell>
          <cell r="C804" t="str">
            <v>Fournisseurs d’investissements</v>
          </cell>
          <cell r="D804" t="str">
            <v>OHADA</v>
          </cell>
          <cell r="E804" t="str">
            <v>480000 -Créances et dettes hors activités ordinaires (HAO) (PASSIF) - OHADA</v>
          </cell>
          <cell r="F804">
            <v>481000</v>
          </cell>
          <cell r="G804" t="str">
            <v>1</v>
          </cell>
          <cell r="H804" t="str">
            <v>Liability</v>
          </cell>
          <cell r="I804" t="str">
            <v>Balance Sheet</v>
          </cell>
          <cell r="J804" t="str">
            <v>XAF</v>
          </cell>
          <cell r="K804" t="str">
            <v>Dettes circulantes H.A.O </v>
          </cell>
        </row>
        <row r="805">
          <cell r="A805" t="str">
            <v>A804</v>
          </cell>
          <cell r="B805" t="str">
            <v>"481100 - Immobilisations incorporelles - OHADA"</v>
          </cell>
          <cell r="C805" t="str">
            <v>Immobilisations incorporelles</v>
          </cell>
          <cell r="D805" t="str">
            <v>OHADA</v>
          </cell>
          <cell r="E805" t="str">
            <v>481000 - Fournisseurs d’investissements - OHADA</v>
          </cell>
          <cell r="F805">
            <v>481100</v>
          </cell>
          <cell r="G805" t="str">
            <v>0</v>
          </cell>
          <cell r="H805" t="str">
            <v>Liability</v>
          </cell>
          <cell r="I805" t="str">
            <v>Balance Sheet</v>
          </cell>
          <cell r="J805" t="str">
            <v>XAF</v>
          </cell>
          <cell r="K805" t="str">
            <v>Dettes circulantes H.A.O </v>
          </cell>
        </row>
        <row r="806">
          <cell r="A806" t="str">
            <v>A805</v>
          </cell>
          <cell r="B806" t="str">
            <v>"481200 - Immobilisations corporelles - OHADA"</v>
          </cell>
          <cell r="C806" t="str">
            <v>Immobilisations corporelles</v>
          </cell>
          <cell r="D806" t="str">
            <v>OHADA</v>
          </cell>
          <cell r="E806" t="str">
            <v>481000 - Fournisseurs d’investissements - OHADA</v>
          </cell>
          <cell r="F806">
            <v>481200</v>
          </cell>
          <cell r="G806" t="str">
            <v>0</v>
          </cell>
          <cell r="H806" t="str">
            <v>Liability</v>
          </cell>
          <cell r="I806" t="str">
            <v>Balance Sheet</v>
          </cell>
          <cell r="J806" t="str">
            <v>XAF</v>
          </cell>
          <cell r="K806" t="str">
            <v>Dettes circulantes H.A.O </v>
          </cell>
        </row>
        <row r="807">
          <cell r="A807" t="str">
            <v>A806</v>
          </cell>
          <cell r="B807" t="str">
            <v>"481300 - Versements restant à effectuer sur titres de participation et titres immobilisés non libérés - OHADA"</v>
          </cell>
          <cell r="C807" t="str">
            <v>Versements restant à effectuer sur titres de participation et titres immobilisés non libérés</v>
          </cell>
          <cell r="D807" t="str">
            <v>OHADA</v>
          </cell>
          <cell r="E807" t="str">
            <v>481000 - Fournisseurs d’investissements - OHADA</v>
          </cell>
          <cell r="F807">
            <v>481300</v>
          </cell>
          <cell r="G807" t="str">
            <v>0</v>
          </cell>
          <cell r="H807" t="str">
            <v>Liability</v>
          </cell>
          <cell r="I807" t="str">
            <v>Balance Sheet</v>
          </cell>
          <cell r="J807" t="str">
            <v>XAF</v>
          </cell>
          <cell r="K807" t="str">
            <v>Dettes circulantes H.A.O </v>
          </cell>
        </row>
        <row r="808">
          <cell r="A808" t="str">
            <v>A807</v>
          </cell>
          <cell r="B808" t="str">
            <v>"481600 - Réserve de propriété - OHADA"</v>
          </cell>
          <cell r="C808" t="str">
            <v>Réserve de propriété</v>
          </cell>
          <cell r="D808" t="str">
            <v>OHADA</v>
          </cell>
          <cell r="E808" t="str">
            <v>481000 - Fournisseurs d’investissements - OHADA</v>
          </cell>
          <cell r="F808">
            <v>481600</v>
          </cell>
          <cell r="G808" t="str">
            <v>0</v>
          </cell>
          <cell r="H808" t="str">
            <v>Liability</v>
          </cell>
          <cell r="I808" t="str">
            <v>Balance Sheet</v>
          </cell>
          <cell r="J808" t="str">
            <v>XAF</v>
          </cell>
          <cell r="K808" t="str">
            <v>Dettes circulantes H.A.O </v>
          </cell>
        </row>
        <row r="809">
          <cell r="A809" t="str">
            <v>A808</v>
          </cell>
          <cell r="B809" t="str">
            <v>"481700 - Retenues de garantie - OHADA"</v>
          </cell>
          <cell r="C809" t="str">
            <v>Retenues de garantie</v>
          </cell>
          <cell r="D809" t="str">
            <v>OHADA</v>
          </cell>
          <cell r="E809" t="str">
            <v>481000 - Fournisseurs d’investissements - OHADA</v>
          </cell>
          <cell r="F809">
            <v>481700</v>
          </cell>
          <cell r="G809" t="str">
            <v>0</v>
          </cell>
          <cell r="H809" t="str">
            <v>Liability</v>
          </cell>
          <cell r="I809" t="str">
            <v>Balance Sheet</v>
          </cell>
          <cell r="J809" t="str">
            <v>XAF</v>
          </cell>
          <cell r="K809" t="str">
            <v>Dettes circulantes H.A.O </v>
          </cell>
        </row>
        <row r="810">
          <cell r="A810" t="str">
            <v>A809</v>
          </cell>
          <cell r="B810" t="str">
            <v>"481800 - Factures non parvenues - OHADA"</v>
          </cell>
          <cell r="C810" t="str">
            <v>Factures non parvenues</v>
          </cell>
          <cell r="D810" t="str">
            <v>OHADA</v>
          </cell>
          <cell r="E810" t="str">
            <v>481000 - Fournisseurs d’investissements - OHADA</v>
          </cell>
          <cell r="F810">
            <v>481800</v>
          </cell>
          <cell r="G810" t="str">
            <v>0</v>
          </cell>
          <cell r="H810" t="str">
            <v>Liability</v>
          </cell>
          <cell r="I810" t="str">
            <v>Balance Sheet</v>
          </cell>
          <cell r="J810" t="str">
            <v>XAF</v>
          </cell>
          <cell r="K810" t="str">
            <v>Dettes circulantes H.A.O </v>
          </cell>
        </row>
        <row r="811">
          <cell r="A811" t="str">
            <v>A810</v>
          </cell>
          <cell r="B811" t="str">
            <v>"482000 - Fournisseurs d’investissements, effets à payer - OHADA"</v>
          </cell>
          <cell r="C811" t="str">
            <v>Fournisseurs d’investissements, effets à payer</v>
          </cell>
          <cell r="D811" t="str">
            <v>OHADA</v>
          </cell>
          <cell r="E811" t="str">
            <v>480000 -Créances et dettes hors activités ordinaires (HAO) (PASSIF) - OHADA</v>
          </cell>
          <cell r="F811">
            <v>482000</v>
          </cell>
          <cell r="G811" t="str">
            <v>1</v>
          </cell>
          <cell r="H811" t="str">
            <v>Liability</v>
          </cell>
          <cell r="I811" t="str">
            <v>Balance Sheet</v>
          </cell>
          <cell r="J811" t="str">
            <v>XAF</v>
          </cell>
          <cell r="K811" t="str">
            <v>Dettes circulantes H.A.O </v>
          </cell>
        </row>
        <row r="812">
          <cell r="A812" t="str">
            <v>A811</v>
          </cell>
          <cell r="B812" t="str">
            <v>"482100 - Immobilisations incorporelles - OHADA"</v>
          </cell>
          <cell r="C812" t="str">
            <v>Immobilisations incorporelles</v>
          </cell>
          <cell r="D812" t="str">
            <v>OHADA</v>
          </cell>
          <cell r="E812" t="str">
            <v>482000 - Fournisseurs d’investissements, effets à payer - OHADA</v>
          </cell>
          <cell r="F812">
            <v>482100</v>
          </cell>
          <cell r="G812" t="str">
            <v>0</v>
          </cell>
          <cell r="H812" t="str">
            <v>Liability</v>
          </cell>
          <cell r="I812" t="str">
            <v>Balance Sheet</v>
          </cell>
          <cell r="J812" t="str">
            <v>XAF</v>
          </cell>
          <cell r="K812" t="str">
            <v>Dettes circulantes H.A.O </v>
          </cell>
        </row>
        <row r="813">
          <cell r="A813" t="str">
            <v>A812</v>
          </cell>
          <cell r="B813" t="str">
            <v>"482200 - Immobilisations corporelles - OHADA"</v>
          </cell>
          <cell r="C813" t="str">
            <v>Immobilisations corporelles</v>
          </cell>
          <cell r="D813" t="str">
            <v>OHADA</v>
          </cell>
          <cell r="E813" t="str">
            <v>482000 - Fournisseurs d’investissements, effets à payer - OHADA</v>
          </cell>
          <cell r="F813">
            <v>482200</v>
          </cell>
          <cell r="G813" t="str">
            <v>0</v>
          </cell>
          <cell r="H813" t="str">
            <v>Liability</v>
          </cell>
          <cell r="I813" t="str">
            <v>Balance Sheet</v>
          </cell>
          <cell r="J813" t="str">
            <v>XAF</v>
          </cell>
          <cell r="K813" t="str">
            <v>Dettes circulantes H.A.O </v>
          </cell>
        </row>
        <row r="814">
          <cell r="A814" t="str">
            <v>A813</v>
          </cell>
          <cell r="B814" t="str">
            <v>"484000 - Autres dettes hors activités ordinaires (HAO) - OHADA"</v>
          </cell>
          <cell r="C814" t="str">
            <v>Autres dettes hors activités ordinaires (HAO)</v>
          </cell>
          <cell r="D814" t="str">
            <v>OHADA</v>
          </cell>
          <cell r="E814" t="str">
            <v>480000 -Créances et dettes hors activités ordinaires (HAO) (PASSIF) - OHADA</v>
          </cell>
          <cell r="F814">
            <v>484000</v>
          </cell>
          <cell r="G814" t="str">
            <v>1</v>
          </cell>
          <cell r="H814" t="str">
            <v>Liability</v>
          </cell>
          <cell r="I814" t="str">
            <v>Balance Sheet</v>
          </cell>
          <cell r="J814" t="str">
            <v>XAF</v>
          </cell>
          <cell r="K814" t="str">
            <v>Dettes circulantes H.A.O </v>
          </cell>
        </row>
        <row r="815">
          <cell r="A815" t="str">
            <v>A814</v>
          </cell>
          <cell r="B815" t="str">
            <v>"488700 - Produits - OHADA"</v>
          </cell>
          <cell r="C815" t="str">
            <v>Produits</v>
          </cell>
          <cell r="D815" t="str">
            <v>OHADA</v>
          </cell>
          <cell r="E815" t="str">
            <v>484000 - Autres dettes hors activités ordinaires (HAO) - OHADA</v>
          </cell>
          <cell r="F815">
            <v>488700</v>
          </cell>
          <cell r="G815" t="str">
            <v>0</v>
          </cell>
          <cell r="H815" t="str">
            <v>Liability</v>
          </cell>
          <cell r="I815" t="str">
            <v>Balance Sheet</v>
          </cell>
          <cell r="J815" t="str">
            <v>XAF</v>
          </cell>
          <cell r="K815" t="str">
            <v>Dettes circulantes H.A.O </v>
          </cell>
        </row>
        <row r="816">
          <cell r="A816" t="str">
            <v>A815</v>
          </cell>
          <cell r="B816" t="str">
            <v>Duties and Taxes</v>
          </cell>
          <cell r="C816" t="str">
            <v>Duties and Taxes</v>
          </cell>
          <cell r="D816" t="str">
            <v>OHADA</v>
          </cell>
          <cell r="E816" t="str">
            <v>4-Comptes de Tiers (PASSIF) - OHADA</v>
          </cell>
          <cell r="G816" t="str">
            <v>1</v>
          </cell>
          <cell r="H816" t="str">
            <v>Liability</v>
          </cell>
          <cell r="I816" t="str">
            <v>Balance Sheet</v>
          </cell>
        </row>
        <row r="817">
          <cell r="A817" t="str">
            <v>A816</v>
          </cell>
          <cell r="B817" t="str">
            <v>VAT</v>
          </cell>
          <cell r="C817" t="str">
            <v>VAT</v>
          </cell>
          <cell r="D817" t="str">
            <v>OHADA</v>
          </cell>
          <cell r="E817" t="str">
            <v>Duties and Taxes - OHADA</v>
          </cell>
          <cell r="G817" t="str">
            <v>0</v>
          </cell>
          <cell r="H817" t="str">
            <v>Liability</v>
          </cell>
          <cell r="I817" t="str">
            <v>Balance Sheet</v>
          </cell>
        </row>
        <row r="818">
          <cell r="A818" t="str">
            <v>A817</v>
          </cell>
          <cell r="B818" t="str">
            <v>5 -  Comptes de trésorerie  -  OHADA</v>
          </cell>
          <cell r="C818" t="str">
            <v>Comptes de trésorerie</v>
          </cell>
          <cell r="D818" t="str">
            <v>OHADA</v>
          </cell>
          <cell r="F818">
            <v>500000</v>
          </cell>
          <cell r="G818" t="str">
            <v>1</v>
          </cell>
          <cell r="H818" t="str">
            <v>Asset</v>
          </cell>
          <cell r="I818" t="str">
            <v>Balance Sheet</v>
          </cell>
          <cell r="J818" t="str">
            <v>XAF</v>
          </cell>
        </row>
        <row r="819">
          <cell r="A819" t="str">
            <v>A818</v>
          </cell>
          <cell r="B819" t="str">
            <v>"500000 - Titres de placement - OHADA"</v>
          </cell>
          <cell r="C819" t="str">
            <v>Titres de placement</v>
          </cell>
          <cell r="D819" t="str">
            <v>OHADA</v>
          </cell>
          <cell r="E819" t="str">
            <v>5 - Comptes de trésorerie - OHADA</v>
          </cell>
          <cell r="F819">
            <v>500000</v>
          </cell>
          <cell r="G819" t="str">
            <v>1</v>
          </cell>
          <cell r="H819" t="str">
            <v>Asset</v>
          </cell>
          <cell r="I819" t="str">
            <v>Balance Sheet</v>
          </cell>
          <cell r="J819" t="str">
            <v>XAF</v>
          </cell>
          <cell r="K819" t="str">
            <v>Titres de placement</v>
          </cell>
        </row>
        <row r="820">
          <cell r="A820" t="str">
            <v>A819</v>
          </cell>
          <cell r="B820" t="str">
            <v>"501000 - Titres du trésor et bons de caisse à court terme - OHADA"</v>
          </cell>
          <cell r="C820" t="str">
            <v>Titres du trésor et bons de caisse à court terme</v>
          </cell>
          <cell r="D820" t="str">
            <v>OHADA</v>
          </cell>
          <cell r="E820" t="str">
            <v>500000 - Titres de placement - OHADA</v>
          </cell>
          <cell r="F820">
            <v>501000</v>
          </cell>
          <cell r="G820" t="str">
            <v>1</v>
          </cell>
          <cell r="H820" t="str">
            <v>Asset</v>
          </cell>
          <cell r="I820" t="str">
            <v>Balance Sheet</v>
          </cell>
          <cell r="J820" t="str">
            <v>XAF</v>
          </cell>
          <cell r="K820" t="str">
            <v>Titres de placement</v>
          </cell>
        </row>
        <row r="821">
          <cell r="A821" t="str">
            <v>A820</v>
          </cell>
          <cell r="B821" t="str">
            <v>"501100 - Titres du Trésor à court terme - OHADA"</v>
          </cell>
          <cell r="C821" t="str">
            <v>Titres du Trésor à court terme</v>
          </cell>
          <cell r="D821" t="str">
            <v>OHADA</v>
          </cell>
          <cell r="E821" t="str">
            <v>501000 - Titres du trésor et bons de caisse à court terme - OHADA</v>
          </cell>
          <cell r="F821">
            <v>501100</v>
          </cell>
          <cell r="G821" t="str">
            <v>0</v>
          </cell>
          <cell r="H821" t="str">
            <v>Asset</v>
          </cell>
          <cell r="I821" t="str">
            <v>Balance Sheet</v>
          </cell>
          <cell r="J821" t="str">
            <v>XAF</v>
          </cell>
          <cell r="K821" t="str">
            <v>Titres de placement</v>
          </cell>
        </row>
        <row r="822">
          <cell r="A822" t="str">
            <v>A821</v>
          </cell>
          <cell r="B822" t="str">
            <v>"501200 - Titres d’organismes financiers - OHADA"</v>
          </cell>
          <cell r="C822" t="str">
            <v>Titres d’organismes financiers</v>
          </cell>
          <cell r="D822" t="str">
            <v>OHADA</v>
          </cell>
          <cell r="E822" t="str">
            <v>501000 - Titres du trésor et bons de caisse à court terme - OHADA</v>
          </cell>
          <cell r="F822">
            <v>501200</v>
          </cell>
          <cell r="G822" t="str">
            <v>0</v>
          </cell>
          <cell r="H822" t="str">
            <v>Asset</v>
          </cell>
          <cell r="I822" t="str">
            <v>Balance Sheet</v>
          </cell>
          <cell r="J822" t="str">
            <v>XAF</v>
          </cell>
          <cell r="K822" t="str">
            <v>Titres de placement</v>
          </cell>
        </row>
        <row r="823">
          <cell r="A823" t="str">
            <v>A822</v>
          </cell>
          <cell r="B823" t="str">
            <v>"501300 - Bons de caisse à court terme - OHADA"</v>
          </cell>
          <cell r="C823" t="str">
            <v>Bons de caisse à court terme</v>
          </cell>
          <cell r="D823" t="str">
            <v>OHADA</v>
          </cell>
          <cell r="E823" t="str">
            <v>501000 - Titres du trésor et bons de caisse à court terme - OHADA</v>
          </cell>
          <cell r="F823">
            <v>501300</v>
          </cell>
          <cell r="G823" t="str">
            <v>0</v>
          </cell>
          <cell r="H823" t="str">
            <v>Asset</v>
          </cell>
          <cell r="I823" t="str">
            <v>Balance Sheet</v>
          </cell>
          <cell r="J823" t="str">
            <v>XAF</v>
          </cell>
          <cell r="K823" t="str">
            <v>Titres de placement</v>
          </cell>
        </row>
        <row r="824">
          <cell r="A824" t="str">
            <v>A823</v>
          </cell>
          <cell r="B824" t="str">
            <v>"501600 - Frais d’acquisition des titres de trésor et bons de caisse - OHADA"</v>
          </cell>
          <cell r="C824" t="str">
            <v>Frais d’acquisition des titres de trésor et bons de caisse</v>
          </cell>
          <cell r="D824" t="str">
            <v>OHADA</v>
          </cell>
          <cell r="E824" t="str">
            <v>501000 - Titres du trésor et bons de caisse à court terme - OHADA</v>
          </cell>
          <cell r="F824">
            <v>501600</v>
          </cell>
          <cell r="G824" t="str">
            <v>0</v>
          </cell>
          <cell r="H824" t="str">
            <v>Asset</v>
          </cell>
          <cell r="I824" t="str">
            <v>Balance Sheet</v>
          </cell>
          <cell r="J824" t="str">
            <v>XAF</v>
          </cell>
          <cell r="K824" t="str">
            <v>Titres de placement</v>
          </cell>
        </row>
        <row r="825">
          <cell r="A825" t="str">
            <v>A824</v>
          </cell>
          <cell r="B825" t="str">
            <v>"502000 - Actions - OHADA"</v>
          </cell>
          <cell r="C825" t="str">
            <v>Actions</v>
          </cell>
          <cell r="D825" t="str">
            <v>OHADA</v>
          </cell>
          <cell r="E825" t="str">
            <v>500000 - Titres de placement - OHADA</v>
          </cell>
          <cell r="F825">
            <v>502000</v>
          </cell>
          <cell r="G825" t="str">
            <v>1</v>
          </cell>
          <cell r="H825" t="str">
            <v>Asset</v>
          </cell>
          <cell r="I825" t="str">
            <v>Balance Sheet</v>
          </cell>
          <cell r="J825" t="str">
            <v>XAF</v>
          </cell>
          <cell r="K825" t="str">
            <v>Titres de placement</v>
          </cell>
        </row>
        <row r="826">
          <cell r="A826" t="str">
            <v>A825</v>
          </cell>
          <cell r="B826" t="str">
            <v>"502100 - Actions ou parts propres - OHADA"</v>
          </cell>
          <cell r="C826" t="str">
            <v>Actions ou parts propres</v>
          </cell>
          <cell r="D826" t="str">
            <v>OHADA</v>
          </cell>
          <cell r="E826" t="str">
            <v>502000 - Actions - OHADA</v>
          </cell>
          <cell r="F826">
            <v>502100</v>
          </cell>
          <cell r="G826" t="str">
            <v>0</v>
          </cell>
          <cell r="H826" t="str">
            <v>Asset</v>
          </cell>
          <cell r="I826" t="str">
            <v>Balance Sheet</v>
          </cell>
          <cell r="J826" t="str">
            <v>XAF</v>
          </cell>
          <cell r="K826" t="str">
            <v>Titres de placement</v>
          </cell>
        </row>
        <row r="827">
          <cell r="A827" t="str">
            <v>A826</v>
          </cell>
          <cell r="B827" t="str">
            <v>"502200 - Actions cotées - OHADA"</v>
          </cell>
          <cell r="C827" t="str">
            <v>Actions cotées</v>
          </cell>
          <cell r="D827" t="str">
            <v>OHADA</v>
          </cell>
          <cell r="E827" t="str">
            <v>502000 - Actions - OHADA</v>
          </cell>
          <cell r="F827">
            <v>502200</v>
          </cell>
          <cell r="G827" t="str">
            <v>0</v>
          </cell>
          <cell r="H827" t="str">
            <v>Asset</v>
          </cell>
          <cell r="I827" t="str">
            <v>Balance Sheet</v>
          </cell>
          <cell r="J827" t="str">
            <v>XAF</v>
          </cell>
          <cell r="K827" t="str">
            <v>Titres de placement</v>
          </cell>
        </row>
        <row r="828">
          <cell r="A828" t="str">
            <v>A827</v>
          </cell>
          <cell r="B828" t="str">
            <v>"502300 - Actions non cotées - OHADA"</v>
          </cell>
          <cell r="C828" t="str">
            <v>Actions non cotées</v>
          </cell>
          <cell r="D828" t="str">
            <v>OHADA</v>
          </cell>
          <cell r="E828" t="str">
            <v>502000 - Actions - OHADA</v>
          </cell>
          <cell r="F828">
            <v>502300</v>
          </cell>
          <cell r="G828" t="str">
            <v>0</v>
          </cell>
          <cell r="H828" t="str">
            <v>Asset</v>
          </cell>
          <cell r="I828" t="str">
            <v>Balance Sheet</v>
          </cell>
          <cell r="J828" t="str">
            <v>XAF</v>
          </cell>
          <cell r="K828" t="str">
            <v>Titres de placement</v>
          </cell>
        </row>
        <row r="829">
          <cell r="A829" t="str">
            <v>A828</v>
          </cell>
          <cell r="B829" t="str">
            <v>"502400 - Actions démembrées (certificats d’investissement, droits de vote) - OHADA"</v>
          </cell>
          <cell r="C829" t="str">
            <v>Actions démembrées (certificats d’investissement, droits de vote)</v>
          </cell>
          <cell r="D829" t="str">
            <v>OHADA</v>
          </cell>
          <cell r="E829" t="str">
            <v>502000 - Actions - OHADA</v>
          </cell>
          <cell r="F829">
            <v>502400</v>
          </cell>
          <cell r="G829" t="str">
            <v>0</v>
          </cell>
          <cell r="H829" t="str">
            <v>Asset</v>
          </cell>
          <cell r="I829" t="str">
            <v>Balance Sheet</v>
          </cell>
          <cell r="J829" t="str">
            <v>XAF</v>
          </cell>
          <cell r="K829" t="str">
            <v>Titres de placement</v>
          </cell>
        </row>
        <row r="830">
          <cell r="A830" t="str">
            <v>A829</v>
          </cell>
          <cell r="B830" t="str">
            <v>"502500 - Autres actions - OHADA"</v>
          </cell>
          <cell r="C830" t="str">
            <v>Autres actions</v>
          </cell>
          <cell r="D830" t="str">
            <v>OHADA</v>
          </cell>
          <cell r="E830" t="str">
            <v>502000 - Actions - OHADA</v>
          </cell>
          <cell r="F830">
            <v>502500</v>
          </cell>
          <cell r="G830" t="str">
            <v>0</v>
          </cell>
          <cell r="H830" t="str">
            <v>Asset</v>
          </cell>
          <cell r="I830" t="str">
            <v>Balance Sheet</v>
          </cell>
          <cell r="J830" t="str">
            <v>XAF</v>
          </cell>
          <cell r="K830" t="str">
            <v>Titres de placement</v>
          </cell>
        </row>
        <row r="831">
          <cell r="A831" t="str">
            <v>A830</v>
          </cell>
          <cell r="B831" t="str">
            <v>"502600 - Frais d’acquisition des actions - OHADA"</v>
          </cell>
          <cell r="C831" t="str">
            <v>Frais d’acquisition des actions</v>
          </cell>
          <cell r="D831" t="str">
            <v>OHADA</v>
          </cell>
          <cell r="E831" t="str">
            <v>502000 - Actions - OHADA</v>
          </cell>
          <cell r="F831">
            <v>502600</v>
          </cell>
          <cell r="G831" t="str">
            <v>0</v>
          </cell>
          <cell r="H831" t="str">
            <v>Asset</v>
          </cell>
          <cell r="I831" t="str">
            <v>Balance Sheet</v>
          </cell>
          <cell r="J831" t="str">
            <v>XAF</v>
          </cell>
          <cell r="K831" t="str">
            <v>Titres de placement</v>
          </cell>
        </row>
        <row r="832">
          <cell r="A832" t="str">
            <v>A831</v>
          </cell>
          <cell r="B832" t="str">
            <v>"503000 - Obligations - OHADA"</v>
          </cell>
          <cell r="C832" t="str">
            <v>Obligations</v>
          </cell>
          <cell r="D832" t="str">
            <v>OHADA</v>
          </cell>
          <cell r="E832" t="str">
            <v>500000 - Titres de placement - OHADA</v>
          </cell>
          <cell r="F832">
            <v>503000</v>
          </cell>
          <cell r="G832" t="str">
            <v>1</v>
          </cell>
          <cell r="H832" t="str">
            <v>Asset</v>
          </cell>
          <cell r="I832" t="str">
            <v>Balance Sheet</v>
          </cell>
          <cell r="J832" t="str">
            <v>XAF</v>
          </cell>
          <cell r="K832" t="str">
            <v>Titres de placement</v>
          </cell>
        </row>
        <row r="833">
          <cell r="A833" t="str">
            <v>A832</v>
          </cell>
          <cell r="B833" t="str">
            <v>"503100 - Obligations émises par la société et rachetées par elle - OHADA"</v>
          </cell>
          <cell r="C833" t="str">
            <v>Obligations émises par la société et rachetées par elle</v>
          </cell>
          <cell r="D833" t="str">
            <v>OHADA</v>
          </cell>
          <cell r="E833" t="str">
            <v>503000 - Obligations - OHADA</v>
          </cell>
          <cell r="F833">
            <v>503100</v>
          </cell>
          <cell r="G833" t="str">
            <v>0</v>
          </cell>
          <cell r="H833" t="str">
            <v>Asset</v>
          </cell>
          <cell r="I833" t="str">
            <v>Balance Sheet</v>
          </cell>
          <cell r="J833" t="str">
            <v>XAF</v>
          </cell>
          <cell r="K833" t="str">
            <v>Titres de placement</v>
          </cell>
        </row>
        <row r="834">
          <cell r="A834" t="str">
            <v>A833</v>
          </cell>
          <cell r="B834" t="str">
            <v>"503200 - Obligations cotées - OHADA"</v>
          </cell>
          <cell r="C834" t="str">
            <v>Obligations cotées</v>
          </cell>
          <cell r="D834" t="str">
            <v>OHADA</v>
          </cell>
          <cell r="E834" t="str">
            <v>503000 - Obligations - OHADA</v>
          </cell>
          <cell r="F834">
            <v>503200</v>
          </cell>
          <cell r="G834" t="str">
            <v>0</v>
          </cell>
          <cell r="H834" t="str">
            <v>Asset</v>
          </cell>
          <cell r="I834" t="str">
            <v>Balance Sheet</v>
          </cell>
          <cell r="J834" t="str">
            <v>XAF</v>
          </cell>
          <cell r="K834" t="str">
            <v>Titres de placement</v>
          </cell>
        </row>
        <row r="835">
          <cell r="A835" t="str">
            <v>A834</v>
          </cell>
          <cell r="B835" t="str">
            <v>"503300 - Obligations non cotées - OHADA"</v>
          </cell>
          <cell r="C835" t="str">
            <v>Obligations non cotées</v>
          </cell>
          <cell r="D835" t="str">
            <v>OHADA</v>
          </cell>
          <cell r="E835" t="str">
            <v>503000 - Obligations - OHADA</v>
          </cell>
          <cell r="F835">
            <v>503300</v>
          </cell>
          <cell r="G835" t="str">
            <v>0</v>
          </cell>
          <cell r="H835" t="str">
            <v>Asset</v>
          </cell>
          <cell r="I835" t="str">
            <v>Balance Sheet</v>
          </cell>
          <cell r="J835" t="str">
            <v>XAF</v>
          </cell>
          <cell r="K835" t="str">
            <v>Titres de placement</v>
          </cell>
        </row>
        <row r="836">
          <cell r="A836" t="str">
            <v>A835</v>
          </cell>
          <cell r="B836" t="str">
            <v>"503500 - Autres obligations - OHADA"</v>
          </cell>
          <cell r="C836" t="str">
            <v>Autres obligations</v>
          </cell>
          <cell r="D836" t="str">
            <v>OHADA</v>
          </cell>
          <cell r="E836" t="str">
            <v>503000 - Obligations - OHADA</v>
          </cell>
          <cell r="F836">
            <v>503500</v>
          </cell>
          <cell r="G836" t="str">
            <v>0</v>
          </cell>
          <cell r="H836" t="str">
            <v>Asset</v>
          </cell>
          <cell r="I836" t="str">
            <v>Balance Sheet</v>
          </cell>
          <cell r="J836" t="str">
            <v>XAF</v>
          </cell>
          <cell r="K836" t="str">
            <v>Titres de placement</v>
          </cell>
        </row>
        <row r="837">
          <cell r="A837" t="str">
            <v>A836</v>
          </cell>
          <cell r="B837" t="str">
            <v>"503600 - Frais d’acquisition des obligations - OHADA"</v>
          </cell>
          <cell r="C837" t="str">
            <v>Frais d’acquisition des obligations</v>
          </cell>
          <cell r="D837" t="str">
            <v>OHADA</v>
          </cell>
          <cell r="E837" t="str">
            <v>503000 - Obligations - OHADA</v>
          </cell>
          <cell r="F837">
            <v>503600</v>
          </cell>
          <cell r="G837" t="str">
            <v>0</v>
          </cell>
          <cell r="H837" t="str">
            <v>Asset</v>
          </cell>
          <cell r="I837" t="str">
            <v>Balance Sheet</v>
          </cell>
          <cell r="J837" t="str">
            <v>XAF</v>
          </cell>
          <cell r="K837" t="str">
            <v>Titres de placement</v>
          </cell>
        </row>
        <row r="838">
          <cell r="A838" t="str">
            <v>A837</v>
          </cell>
          <cell r="B838" t="str">
            <v>"504000 - Bons de souscription - OHADA"</v>
          </cell>
          <cell r="C838" t="str">
            <v>Bons de souscription</v>
          </cell>
          <cell r="D838" t="str">
            <v>OHADA</v>
          </cell>
          <cell r="E838" t="str">
            <v>500000 - Titres de placement - OHADA</v>
          </cell>
          <cell r="F838">
            <v>504000</v>
          </cell>
          <cell r="G838" t="str">
            <v>1</v>
          </cell>
          <cell r="H838" t="str">
            <v>Asset</v>
          </cell>
          <cell r="I838" t="str">
            <v>Balance Sheet</v>
          </cell>
          <cell r="J838" t="str">
            <v>XAF</v>
          </cell>
          <cell r="K838" t="str">
            <v>Titres de placement</v>
          </cell>
        </row>
        <row r="839">
          <cell r="A839" t="str">
            <v>A838</v>
          </cell>
          <cell r="B839" t="str">
            <v>"504200 - Bons de souscription d’actions - OHADA"</v>
          </cell>
          <cell r="C839" t="str">
            <v>Bons de souscription d’actions</v>
          </cell>
          <cell r="D839" t="str">
            <v>OHADA</v>
          </cell>
          <cell r="E839" t="str">
            <v>504000 - Bons de souscription - OHADA</v>
          </cell>
          <cell r="F839">
            <v>504200</v>
          </cell>
          <cell r="G839" t="str">
            <v>0</v>
          </cell>
          <cell r="H839" t="str">
            <v>Asset</v>
          </cell>
          <cell r="I839" t="str">
            <v>Balance Sheet</v>
          </cell>
          <cell r="J839" t="str">
            <v>XAF</v>
          </cell>
          <cell r="K839" t="str">
            <v>Titres de placement</v>
          </cell>
        </row>
        <row r="840">
          <cell r="A840" t="str">
            <v>A839</v>
          </cell>
          <cell r="B840" t="str">
            <v>"504300 - Bons de souscription d’obligations - OHADA"</v>
          </cell>
          <cell r="C840" t="str">
            <v>Bons de souscription d’obligations</v>
          </cell>
          <cell r="D840" t="str">
            <v>OHADA</v>
          </cell>
          <cell r="E840" t="str">
            <v>504000 - Bons de souscription - OHADA</v>
          </cell>
          <cell r="F840">
            <v>504300</v>
          </cell>
          <cell r="G840" t="str">
            <v>0</v>
          </cell>
          <cell r="H840" t="str">
            <v>Asset</v>
          </cell>
          <cell r="I840" t="str">
            <v>Balance Sheet</v>
          </cell>
          <cell r="J840" t="str">
            <v>XAF</v>
          </cell>
          <cell r="K840" t="str">
            <v>Titres de placement</v>
          </cell>
        </row>
        <row r="841">
          <cell r="A841" t="str">
            <v>A840</v>
          </cell>
          <cell r="B841" t="str">
            <v>"505000 - Titres négociables hors région - OHADA"</v>
          </cell>
          <cell r="C841" t="str">
            <v>Titres négociables hors région</v>
          </cell>
          <cell r="D841" t="str">
            <v>OHADA</v>
          </cell>
          <cell r="E841" t="str">
            <v>500000 - Titres de placement - OHADA</v>
          </cell>
          <cell r="F841">
            <v>505000</v>
          </cell>
          <cell r="G841" t="str">
            <v>0</v>
          </cell>
          <cell r="H841" t="str">
            <v>Asset</v>
          </cell>
          <cell r="I841" t="str">
            <v>Balance Sheet</v>
          </cell>
          <cell r="J841" t="str">
            <v>XAF</v>
          </cell>
          <cell r="K841" t="str">
            <v>Titres de placement</v>
          </cell>
        </row>
        <row r="842">
          <cell r="A842" t="str">
            <v>A841</v>
          </cell>
          <cell r="B842" t="str">
            <v>"506000 - Intérêts courus - OHADA"</v>
          </cell>
          <cell r="C842" t="str">
            <v>Intérêts courus</v>
          </cell>
          <cell r="D842" t="str">
            <v>OHADA</v>
          </cell>
          <cell r="E842" t="str">
            <v>500000 - Titres de placement - OHADA</v>
          </cell>
          <cell r="F842">
            <v>506000</v>
          </cell>
          <cell r="G842" t="str">
            <v>1</v>
          </cell>
          <cell r="H842" t="str">
            <v>Asset</v>
          </cell>
          <cell r="I842" t="str">
            <v>Balance Sheet</v>
          </cell>
          <cell r="J842" t="str">
            <v>XAF</v>
          </cell>
          <cell r="K842" t="str">
            <v>Titres de placement</v>
          </cell>
        </row>
        <row r="843">
          <cell r="A843" t="str">
            <v>A842</v>
          </cell>
          <cell r="B843" t="str">
            <v>"506100 - Titres du Trésor et bons de caisse à court terme - OHADA"</v>
          </cell>
          <cell r="C843" t="str">
            <v>Titres du Trésor et bons de caisse à court terme</v>
          </cell>
          <cell r="D843" t="str">
            <v>OHADA</v>
          </cell>
          <cell r="E843" t="str">
            <v>506000 - Intérêts courus - OHADA</v>
          </cell>
          <cell r="F843">
            <v>506100</v>
          </cell>
          <cell r="G843" t="str">
            <v>0</v>
          </cell>
          <cell r="H843" t="str">
            <v>Asset</v>
          </cell>
          <cell r="I843" t="str">
            <v>Balance Sheet</v>
          </cell>
          <cell r="J843" t="str">
            <v>XAF</v>
          </cell>
          <cell r="K843" t="str">
            <v>Titres de placement</v>
          </cell>
        </row>
        <row r="844">
          <cell r="A844" t="str">
            <v>A843</v>
          </cell>
          <cell r="B844" t="str">
            <v>"506200 - Actions - OHADA"</v>
          </cell>
          <cell r="C844" t="str">
            <v>Actions</v>
          </cell>
          <cell r="D844" t="str">
            <v>OHADA</v>
          </cell>
          <cell r="E844" t="str">
            <v>506000 - Intérêts courus - OHADA</v>
          </cell>
          <cell r="F844">
            <v>506200</v>
          </cell>
          <cell r="G844" t="str">
            <v>0</v>
          </cell>
          <cell r="H844" t="str">
            <v>Asset</v>
          </cell>
          <cell r="I844" t="str">
            <v>Balance Sheet</v>
          </cell>
          <cell r="J844" t="str">
            <v>XAF</v>
          </cell>
          <cell r="K844" t="str">
            <v>Titres de placement</v>
          </cell>
        </row>
        <row r="845">
          <cell r="A845" t="str">
            <v>A844</v>
          </cell>
          <cell r="B845" t="str">
            <v>"506300 - Obligations - OHADA"</v>
          </cell>
          <cell r="C845" t="str">
            <v>Obligations</v>
          </cell>
          <cell r="D845" t="str">
            <v>OHADA</v>
          </cell>
          <cell r="E845" t="str">
            <v>506000 - Intérêts courus - OHADA</v>
          </cell>
          <cell r="F845">
            <v>506300</v>
          </cell>
          <cell r="G845" t="str">
            <v>0</v>
          </cell>
          <cell r="H845" t="str">
            <v>Asset</v>
          </cell>
          <cell r="I845" t="str">
            <v>Balance Sheet</v>
          </cell>
          <cell r="J845" t="str">
            <v>XAF</v>
          </cell>
          <cell r="K845" t="str">
            <v>Titres de placement</v>
          </cell>
        </row>
        <row r="846">
          <cell r="A846" t="str">
            <v>A845</v>
          </cell>
          <cell r="B846" t="str">
            <v>"508000 - Autres titres de placement et créances assimilées - OHADA"</v>
          </cell>
          <cell r="C846" t="str">
            <v>Autres titres de placement et créances assimilées</v>
          </cell>
          <cell r="D846" t="str">
            <v>OHADA</v>
          </cell>
          <cell r="E846" t="str">
            <v>500000 - Titres de placement - OHADA</v>
          </cell>
          <cell r="F846">
            <v>508000</v>
          </cell>
          <cell r="G846" t="str">
            <v>0</v>
          </cell>
          <cell r="H846" t="str">
            <v>Asset</v>
          </cell>
          <cell r="I846" t="str">
            <v>Balance Sheet</v>
          </cell>
          <cell r="J846" t="str">
            <v>XAF</v>
          </cell>
          <cell r="K846" t="str">
            <v>Titres de placement</v>
          </cell>
        </row>
        <row r="847">
          <cell r="A847" t="str">
            <v>A846</v>
          </cell>
          <cell r="B847" t="str">
            <v>"510000 - Valeurs à encaisser - OHADA"</v>
          </cell>
          <cell r="C847" t="str">
            <v>Valeurs à encaisser</v>
          </cell>
          <cell r="D847" t="str">
            <v>OHADA</v>
          </cell>
          <cell r="E847" t="str">
            <v>5 - Comptes de trésorerie - OHADA</v>
          </cell>
          <cell r="F847">
            <v>510000</v>
          </cell>
          <cell r="G847" t="str">
            <v>1</v>
          </cell>
          <cell r="H847" t="str">
            <v>Asset</v>
          </cell>
          <cell r="I847" t="str">
            <v>Balance Sheet</v>
          </cell>
          <cell r="J847" t="str">
            <v>XAF</v>
          </cell>
          <cell r="K847" t="str">
            <v>Valeurs à encaisser</v>
          </cell>
        </row>
        <row r="848">
          <cell r="A848" t="str">
            <v>A847</v>
          </cell>
          <cell r="B848" t="str">
            <v>"511000 - Effets à encaisser - OHADA"</v>
          </cell>
          <cell r="C848" t="str">
            <v>Effets à encaisser</v>
          </cell>
          <cell r="D848" t="str">
            <v>OHADA</v>
          </cell>
          <cell r="E848" t="str">
            <v>510000 - Valeurs à encaisser - OHADA</v>
          </cell>
          <cell r="F848">
            <v>511000</v>
          </cell>
          <cell r="G848" t="str">
            <v>0</v>
          </cell>
          <cell r="H848" t="str">
            <v>Asset</v>
          </cell>
          <cell r="I848" t="str">
            <v>Balance Sheet</v>
          </cell>
          <cell r="J848" t="str">
            <v>XAF</v>
          </cell>
          <cell r="K848" t="str">
            <v>Valeurs à encaisser</v>
          </cell>
        </row>
        <row r="849">
          <cell r="A849" t="str">
            <v>A848</v>
          </cell>
          <cell r="B849" t="str">
            <v>"512000 - Effets à l’encaissement - OHADA"</v>
          </cell>
          <cell r="C849" t="str">
            <v>Effets à l’encaissement</v>
          </cell>
          <cell r="D849" t="str">
            <v>OHADA</v>
          </cell>
          <cell r="E849" t="str">
            <v>510000 - Valeurs à encaisser - OHADA</v>
          </cell>
          <cell r="F849">
            <v>512000</v>
          </cell>
          <cell r="G849" t="str">
            <v>0</v>
          </cell>
          <cell r="H849" t="str">
            <v>Asset</v>
          </cell>
          <cell r="I849" t="str">
            <v>Balance Sheet</v>
          </cell>
          <cell r="J849" t="str">
            <v>XAF</v>
          </cell>
          <cell r="K849" t="str">
            <v>Valeurs à encaisser</v>
          </cell>
        </row>
        <row r="850">
          <cell r="A850" t="str">
            <v>A849</v>
          </cell>
          <cell r="B850" t="str">
            <v>"513000 - Chèques à encaisser - OHADA"</v>
          </cell>
          <cell r="C850" t="str">
            <v>Chèques à encaisser</v>
          </cell>
          <cell r="D850" t="str">
            <v>OHADA</v>
          </cell>
          <cell r="E850" t="str">
            <v>510000 - Valeurs à encaisser - OHADA</v>
          </cell>
          <cell r="F850">
            <v>513000</v>
          </cell>
          <cell r="G850" t="str">
            <v>0</v>
          </cell>
          <cell r="H850" t="str">
            <v>Asset</v>
          </cell>
          <cell r="I850" t="str">
            <v>Balance Sheet</v>
          </cell>
          <cell r="J850" t="str">
            <v>XAF</v>
          </cell>
          <cell r="K850" t="str">
            <v>Valeurs à encaisser</v>
          </cell>
        </row>
        <row r="851">
          <cell r="A851" t="str">
            <v>A850</v>
          </cell>
          <cell r="B851" t="str">
            <v>"514000 - Chèques à l’encaissement - OHADA"</v>
          </cell>
          <cell r="C851" t="str">
            <v>Chèques à l’encaissement</v>
          </cell>
          <cell r="D851" t="str">
            <v>OHADA</v>
          </cell>
          <cell r="E851" t="str">
            <v>510000 - Valeurs à encaisser - OHADA</v>
          </cell>
          <cell r="F851">
            <v>514000</v>
          </cell>
          <cell r="G851" t="str">
            <v>0</v>
          </cell>
          <cell r="H851" t="str">
            <v>Asset</v>
          </cell>
          <cell r="I851" t="str">
            <v>Balance Sheet</v>
          </cell>
          <cell r="J851" t="str">
            <v>XAF</v>
          </cell>
          <cell r="K851" t="str">
            <v>Valeurs à encaisser</v>
          </cell>
        </row>
        <row r="852">
          <cell r="A852" t="str">
            <v>A851</v>
          </cell>
          <cell r="B852" t="str">
            <v>"515000 - Cartes de crédit à encaisser - OHADA"</v>
          </cell>
          <cell r="C852" t="str">
            <v>Cartes de crédit à encaisser</v>
          </cell>
          <cell r="D852" t="str">
            <v>OHADA</v>
          </cell>
          <cell r="E852" t="str">
            <v>510000 - Valeurs à encaisser - OHADA</v>
          </cell>
          <cell r="F852">
            <v>515000</v>
          </cell>
          <cell r="G852" t="str">
            <v>0</v>
          </cell>
          <cell r="H852" t="str">
            <v>Asset</v>
          </cell>
          <cell r="I852" t="str">
            <v>Balance Sheet</v>
          </cell>
          <cell r="J852" t="str">
            <v>XAF</v>
          </cell>
          <cell r="K852" t="str">
            <v>Valeurs à encaisser</v>
          </cell>
        </row>
        <row r="853">
          <cell r="A853" t="str">
            <v>A852</v>
          </cell>
          <cell r="B853" t="str">
            <v>"518000 - Autres valeurs à l’encaissement - OHADA"</v>
          </cell>
          <cell r="C853" t="str">
            <v>Autres valeurs à l’encaissement</v>
          </cell>
          <cell r="D853" t="str">
            <v>OHADA</v>
          </cell>
          <cell r="E853" t="str">
            <v>510000 - Valeurs à encaisser - OHADA</v>
          </cell>
          <cell r="F853">
            <v>518000</v>
          </cell>
          <cell r="G853" t="str">
            <v>1</v>
          </cell>
          <cell r="H853" t="str">
            <v>Asset</v>
          </cell>
          <cell r="I853" t="str">
            <v>Balance Sheet</v>
          </cell>
          <cell r="J853" t="str">
            <v>XAF</v>
          </cell>
          <cell r="K853" t="str">
            <v>Valeurs à encaisser</v>
          </cell>
        </row>
        <row r="854">
          <cell r="A854" t="str">
            <v>A853</v>
          </cell>
          <cell r="B854" t="str">
            <v>"518100 - Warrants - OHADA"</v>
          </cell>
          <cell r="C854" t="str">
            <v>Warrants</v>
          </cell>
          <cell r="D854" t="str">
            <v>OHADA</v>
          </cell>
          <cell r="E854" t="str">
            <v>518000 - Autres valeurs à l’encaissement - OHADA</v>
          </cell>
          <cell r="F854">
            <v>518100</v>
          </cell>
          <cell r="G854" t="str">
            <v>0</v>
          </cell>
          <cell r="H854" t="str">
            <v>Asset</v>
          </cell>
          <cell r="I854" t="str">
            <v>Balance Sheet</v>
          </cell>
          <cell r="J854" t="str">
            <v>XAF</v>
          </cell>
          <cell r="K854" t="str">
            <v>Valeurs à encaisser</v>
          </cell>
        </row>
        <row r="855">
          <cell r="A855" t="str">
            <v>A854</v>
          </cell>
          <cell r="B855" t="str">
            <v>"518200 - Billets de fonds - OHADA"</v>
          </cell>
          <cell r="C855" t="str">
            <v>Billets de fonds</v>
          </cell>
          <cell r="D855" t="str">
            <v>OHADA</v>
          </cell>
          <cell r="E855" t="str">
            <v>518000 - Autres valeurs à l’encaissement - OHADA</v>
          </cell>
          <cell r="F855">
            <v>518200</v>
          </cell>
          <cell r="G855" t="str">
            <v>0</v>
          </cell>
          <cell r="H855" t="str">
            <v>Asset</v>
          </cell>
          <cell r="I855" t="str">
            <v>Balance Sheet</v>
          </cell>
          <cell r="J855" t="str">
            <v>XAF</v>
          </cell>
          <cell r="K855" t="str">
            <v>Valeurs à encaisser</v>
          </cell>
        </row>
        <row r="856">
          <cell r="A856" t="str">
            <v>A855</v>
          </cell>
          <cell r="B856" t="str">
            <v>"518500 - Chèques de voyage - OHADA"</v>
          </cell>
          <cell r="C856" t="str">
            <v>Chèques de voyage</v>
          </cell>
          <cell r="D856" t="str">
            <v>OHADA</v>
          </cell>
          <cell r="E856" t="str">
            <v>518000 - Autres valeurs à l’encaissement - OHADA</v>
          </cell>
          <cell r="F856">
            <v>518500</v>
          </cell>
          <cell r="G856" t="str">
            <v>0</v>
          </cell>
          <cell r="H856" t="str">
            <v>Asset</v>
          </cell>
          <cell r="I856" t="str">
            <v>Balance Sheet</v>
          </cell>
          <cell r="J856" t="str">
            <v>XAF</v>
          </cell>
          <cell r="K856" t="str">
            <v>Valeurs à encaisser</v>
          </cell>
        </row>
        <row r="857">
          <cell r="A857" t="str">
            <v>A856</v>
          </cell>
          <cell r="B857" t="str">
            <v>"518600 - Coupons échus - OHADA"</v>
          </cell>
          <cell r="C857" t="str">
            <v>Coupons échus</v>
          </cell>
          <cell r="D857" t="str">
            <v>OHADA</v>
          </cell>
          <cell r="E857" t="str">
            <v>518000 - Autres valeurs à l’encaissement - OHADA</v>
          </cell>
          <cell r="F857">
            <v>518600</v>
          </cell>
          <cell r="G857" t="str">
            <v>0</v>
          </cell>
          <cell r="H857" t="str">
            <v>Asset</v>
          </cell>
          <cell r="I857" t="str">
            <v>Balance Sheet</v>
          </cell>
          <cell r="J857" t="str">
            <v>XAF</v>
          </cell>
          <cell r="K857" t="str">
            <v>Valeurs à encaisser</v>
          </cell>
        </row>
        <row r="858">
          <cell r="A858" t="str">
            <v>A857</v>
          </cell>
          <cell r="B858" t="str">
            <v>"518700 - Intérêts échus des obligations - OHADA"</v>
          </cell>
          <cell r="C858" t="str">
            <v>Intérêts échus des obligations</v>
          </cell>
          <cell r="D858" t="str">
            <v>OHADA</v>
          </cell>
          <cell r="E858" t="str">
            <v>518000 - Autres valeurs à l’encaissement - OHADA</v>
          </cell>
          <cell r="F858">
            <v>518700</v>
          </cell>
          <cell r="G858" t="str">
            <v>0</v>
          </cell>
          <cell r="H858" t="str">
            <v>Asset</v>
          </cell>
          <cell r="I858" t="str">
            <v>Balance Sheet</v>
          </cell>
          <cell r="J858" t="str">
            <v>XAF</v>
          </cell>
          <cell r="K858" t="str">
            <v>Valeurs à encaisser</v>
          </cell>
        </row>
        <row r="859">
          <cell r="A859" t="str">
            <v>A858</v>
          </cell>
          <cell r="B859" t="str">
            <v>"520000 - Banques - OHADA"</v>
          </cell>
          <cell r="C859" t="str">
            <v>Banques</v>
          </cell>
          <cell r="D859" t="str">
            <v>OHADA</v>
          </cell>
          <cell r="E859" t="str">
            <v>5 - Comptes de trésorerie - OHADA</v>
          </cell>
          <cell r="F859">
            <v>520000</v>
          </cell>
          <cell r="G859" t="str">
            <v>1</v>
          </cell>
          <cell r="H859" t="str">
            <v>Asset</v>
          </cell>
          <cell r="I859" t="str">
            <v>Balance Sheet</v>
          </cell>
          <cell r="J859" t="str">
            <v>XAF</v>
          </cell>
          <cell r="K859" t="str">
            <v>Banques, chèques postaux, caisse</v>
          </cell>
        </row>
        <row r="860">
          <cell r="A860" t="str">
            <v>A859</v>
          </cell>
          <cell r="B860" t="str">
            <v>"521000 - Banques locales - OHADA"</v>
          </cell>
          <cell r="C860" t="str">
            <v>Banques locales</v>
          </cell>
          <cell r="D860" t="str">
            <v>OHADA</v>
          </cell>
          <cell r="E860" t="str">
            <v>520000 - Banques - OHADA</v>
          </cell>
          <cell r="F860">
            <v>521000</v>
          </cell>
          <cell r="G860" t="str">
            <v>1</v>
          </cell>
          <cell r="H860" t="str">
            <v>Asset</v>
          </cell>
          <cell r="I860" t="str">
            <v>Balance Sheet</v>
          </cell>
          <cell r="J860" t="str">
            <v>XAF</v>
          </cell>
          <cell r="K860" t="str">
            <v>Banques, chèques postaux, caisse</v>
          </cell>
        </row>
        <row r="861">
          <cell r="A861" t="str">
            <v>A860</v>
          </cell>
          <cell r="B861" t="str">
            <v>"521100 - Banques en monnaie nationale - OHADA"</v>
          </cell>
          <cell r="C861" t="str">
            <v>Banques en monnaie nationale</v>
          </cell>
          <cell r="D861" t="str">
            <v>OHADA</v>
          </cell>
          <cell r="E861" t="str">
            <v>521000 - Banques locales - OHADA</v>
          </cell>
          <cell r="F861">
            <v>521100</v>
          </cell>
          <cell r="G861" t="str">
            <v>0</v>
          </cell>
          <cell r="H861" t="str">
            <v>Asset</v>
          </cell>
          <cell r="I861" t="str">
            <v>Balance Sheet</v>
          </cell>
          <cell r="J861" t="str">
            <v>XAF</v>
          </cell>
          <cell r="K861" t="str">
            <v>Banques, chèques postaux, caisse</v>
          </cell>
        </row>
        <row r="862">
          <cell r="A862" t="str">
            <v>A861</v>
          </cell>
          <cell r="B862" t="str">
            <v>"521500 - Banques en devises - OHADA"</v>
          </cell>
          <cell r="C862" t="str">
            <v>Banques en devises</v>
          </cell>
          <cell r="D862" t="str">
            <v>OHADA</v>
          </cell>
          <cell r="E862" t="str">
            <v>521000 - Banques locales - OHADA</v>
          </cell>
          <cell r="F862">
            <v>521500</v>
          </cell>
          <cell r="G862" t="str">
            <v>0</v>
          </cell>
          <cell r="H862" t="str">
            <v>Asset</v>
          </cell>
          <cell r="I862" t="str">
            <v>Balance Sheet</v>
          </cell>
          <cell r="J862" t="str">
            <v>XAF</v>
          </cell>
          <cell r="K862" t="str">
            <v>Banques, chèques postaux, caisse</v>
          </cell>
        </row>
        <row r="863">
          <cell r="A863" t="str">
            <v>A862</v>
          </cell>
          <cell r="B863" t="str">
            <v>"522000 - Banques autres États région - OHADA"</v>
          </cell>
          <cell r="C863" t="str">
            <v>Banques autres États région</v>
          </cell>
          <cell r="D863" t="str">
            <v>OHADA</v>
          </cell>
          <cell r="E863" t="str">
            <v>520000 - Banques - OHADA</v>
          </cell>
          <cell r="F863">
            <v>522000</v>
          </cell>
          <cell r="G863" t="str">
            <v>0</v>
          </cell>
          <cell r="H863" t="str">
            <v>Asset</v>
          </cell>
          <cell r="I863" t="str">
            <v>Balance Sheet</v>
          </cell>
          <cell r="J863" t="str">
            <v>XAF</v>
          </cell>
          <cell r="K863" t="str">
            <v>Banques, chèques postaux, caisse</v>
          </cell>
        </row>
        <row r="864">
          <cell r="A864" t="str">
            <v>A863</v>
          </cell>
          <cell r="B864" t="str">
            <v>"523000 - Banques autres États zone monétaire - OHADA"</v>
          </cell>
          <cell r="C864" t="str">
            <v>Banques autres États zone monétaire</v>
          </cell>
          <cell r="D864" t="str">
            <v>OHADA</v>
          </cell>
          <cell r="E864" t="str">
            <v>520000 - Banques - OHADA</v>
          </cell>
          <cell r="F864">
            <v>523000</v>
          </cell>
          <cell r="G864" t="str">
            <v>0</v>
          </cell>
          <cell r="H864" t="str">
            <v>Asset</v>
          </cell>
          <cell r="I864" t="str">
            <v>Balance Sheet</v>
          </cell>
          <cell r="J864" t="str">
            <v>XAF</v>
          </cell>
          <cell r="K864" t="str">
            <v>Banques, chèques postaux, caisse</v>
          </cell>
        </row>
        <row r="865">
          <cell r="A865" t="str">
            <v>A864</v>
          </cell>
          <cell r="B865" t="str">
            <v>"524000 - Banques hors zone monétaire - OHADA"</v>
          </cell>
          <cell r="C865" t="str">
            <v>Banques hors zone monétaire</v>
          </cell>
          <cell r="D865" t="str">
            <v>OHADA</v>
          </cell>
          <cell r="E865" t="str">
            <v>520000 - Banques - OHADA</v>
          </cell>
          <cell r="F865">
            <v>524000</v>
          </cell>
          <cell r="G865" t="str">
            <v>0</v>
          </cell>
          <cell r="H865" t="str">
            <v>Asset</v>
          </cell>
          <cell r="I865" t="str">
            <v>Balance Sheet</v>
          </cell>
          <cell r="J865" t="str">
            <v>XAF</v>
          </cell>
          <cell r="K865" t="str">
            <v>Banques, chèques postaux, caisse</v>
          </cell>
        </row>
        <row r="866">
          <cell r="A866" t="str">
            <v>A865</v>
          </cell>
          <cell r="B866" t="str">
            <v>"525000 - Banques dépôt à terme - OHADA"</v>
          </cell>
          <cell r="C866" t="str">
            <v>Banques dépôt à terme</v>
          </cell>
          <cell r="D866" t="str">
            <v>OHADA</v>
          </cell>
          <cell r="E866" t="str">
            <v>520000 - Banques - OHADA</v>
          </cell>
          <cell r="F866">
            <v>525000</v>
          </cell>
          <cell r="G866" t="str">
            <v>0</v>
          </cell>
          <cell r="H866" t="str">
            <v>Asset</v>
          </cell>
          <cell r="I866" t="str">
            <v>Balance Sheet</v>
          </cell>
          <cell r="J866" t="str">
            <v>XAF</v>
          </cell>
          <cell r="K866" t="str">
            <v>Banques, chèques postaux, caisse</v>
          </cell>
        </row>
        <row r="867">
          <cell r="A867" t="str">
            <v>A866</v>
          </cell>
          <cell r="B867" t="str">
            <v>"526000 - Banques, intérêts courus - OHADA"</v>
          </cell>
          <cell r="C867" t="str">
            <v>Banques, intérêts courus</v>
          </cell>
          <cell r="D867" t="str">
            <v>OHADA</v>
          </cell>
          <cell r="E867" t="str">
            <v>520000 - Banques - OHADA</v>
          </cell>
          <cell r="F867">
            <v>526000</v>
          </cell>
          <cell r="G867" t="str">
            <v>1</v>
          </cell>
          <cell r="H867" t="str">
            <v>Asset</v>
          </cell>
          <cell r="I867" t="str">
            <v>Balance Sheet</v>
          </cell>
          <cell r="J867" t="str">
            <v>XAF</v>
          </cell>
          <cell r="K867" t="str">
            <v>Banques, chèques postaux, caisse</v>
          </cell>
        </row>
        <row r="868">
          <cell r="A868" t="str">
            <v>A867</v>
          </cell>
          <cell r="B868" t="str">
            <v>"526100 - Banque, intérêts courus, charges à payer - OHADA"</v>
          </cell>
          <cell r="C868" t="str">
            <v>Banque, intérêts courus, charges à payer</v>
          </cell>
          <cell r="D868" t="str">
            <v>OHADA</v>
          </cell>
          <cell r="E868" t="str">
            <v>526000 - Banques, intérêts courus - OHADA</v>
          </cell>
          <cell r="F868">
            <v>526100</v>
          </cell>
          <cell r="G868" t="str">
            <v>0</v>
          </cell>
          <cell r="H868" t="str">
            <v>Asset</v>
          </cell>
          <cell r="I868" t="str">
            <v>Balance Sheet</v>
          </cell>
          <cell r="J868" t="str">
            <v>XAF</v>
          </cell>
          <cell r="K868" t="str">
            <v>Banques, chèques postaux, caisse</v>
          </cell>
        </row>
        <row r="869">
          <cell r="A869" t="str">
            <v>A868</v>
          </cell>
          <cell r="B869" t="str">
            <v>"526700 - Banque, intérêts courus, produits à recevoir - OHADA"</v>
          </cell>
          <cell r="C869" t="str">
            <v>Banque, intérêts courus, produits à recevoir</v>
          </cell>
          <cell r="D869" t="str">
            <v>OHADA</v>
          </cell>
          <cell r="E869" t="str">
            <v>526000 - Banques, intérêts courus - OHADA</v>
          </cell>
          <cell r="F869">
            <v>526700</v>
          </cell>
          <cell r="G869" t="str">
            <v>0</v>
          </cell>
          <cell r="H869" t="str">
            <v>Asset</v>
          </cell>
          <cell r="I869" t="str">
            <v>Balance Sheet</v>
          </cell>
          <cell r="J869" t="str">
            <v>XAF</v>
          </cell>
          <cell r="K869" t="str">
            <v>Banques, chèques postaux, caisse</v>
          </cell>
        </row>
        <row r="870">
          <cell r="A870" t="str">
            <v>A869</v>
          </cell>
          <cell r="B870" t="str">
            <v>"530000 - Établissements financiers et assimilés - OHADA"</v>
          </cell>
          <cell r="C870" t="str">
            <v>Établissements financiers et assimilés</v>
          </cell>
          <cell r="D870" t="str">
            <v>OHADA</v>
          </cell>
          <cell r="E870" t="str">
            <v>5 - Comptes de trésorerie - OHADA</v>
          </cell>
          <cell r="F870">
            <v>530000</v>
          </cell>
          <cell r="G870" t="str">
            <v>1</v>
          </cell>
          <cell r="H870" t="str">
            <v>Asset</v>
          </cell>
          <cell r="I870" t="str">
            <v>Balance Sheet</v>
          </cell>
          <cell r="J870" t="str">
            <v>XAF</v>
          </cell>
          <cell r="K870" t="str">
            <v>Banques, chèques postaux, caisse</v>
          </cell>
        </row>
        <row r="871">
          <cell r="A871" t="str">
            <v>A870</v>
          </cell>
          <cell r="B871" t="str">
            <v>"531000 - Chèques postaux - OHADA"</v>
          </cell>
          <cell r="C871" t="str">
            <v>Chèques postaux</v>
          </cell>
          <cell r="D871" t="str">
            <v>OHADA</v>
          </cell>
          <cell r="E871" t="str">
            <v>530000 - Établissements financiers et assimilés - OHADA</v>
          </cell>
          <cell r="F871">
            <v>531000</v>
          </cell>
          <cell r="G871" t="str">
            <v>0</v>
          </cell>
          <cell r="H871" t="str">
            <v>Asset</v>
          </cell>
          <cell r="I871" t="str">
            <v>Balance Sheet</v>
          </cell>
          <cell r="J871" t="str">
            <v>XAF</v>
          </cell>
          <cell r="K871" t="str">
            <v>Banques, chèques postaux, caisse</v>
          </cell>
        </row>
        <row r="872">
          <cell r="A872" t="str">
            <v>A871</v>
          </cell>
          <cell r="B872" t="str">
            <v>"532000 - Trésor - OHADA"</v>
          </cell>
          <cell r="C872" t="str">
            <v>Trésor</v>
          </cell>
          <cell r="D872" t="str">
            <v>OHADA</v>
          </cell>
          <cell r="E872" t="str">
            <v>530000 - Établissements financiers et assimilés - OHADA</v>
          </cell>
          <cell r="F872">
            <v>532000</v>
          </cell>
          <cell r="G872" t="str">
            <v>0</v>
          </cell>
          <cell r="H872" t="str">
            <v>Asset</v>
          </cell>
          <cell r="I872" t="str">
            <v>Balance Sheet</v>
          </cell>
          <cell r="J872" t="str">
            <v>XAF</v>
          </cell>
          <cell r="K872" t="str">
            <v>Banques, chèques postaux, caisse</v>
          </cell>
        </row>
        <row r="873">
          <cell r="A873" t="str">
            <v>A872</v>
          </cell>
          <cell r="B873" t="str">
            <v>"533000 - Sociétés de gestion et d’intermédiation (SGI) - OHADA"</v>
          </cell>
          <cell r="C873" t="str">
            <v>Sociétés de gestion et d’intermédiation (SGI)</v>
          </cell>
          <cell r="D873" t="str">
            <v>OHADA</v>
          </cell>
          <cell r="E873" t="str">
            <v>530000 - Établissements financiers et assimilés - OHADA</v>
          </cell>
          <cell r="F873">
            <v>533000</v>
          </cell>
          <cell r="G873" t="str">
            <v>0</v>
          </cell>
          <cell r="H873" t="str">
            <v>Asset</v>
          </cell>
          <cell r="I873" t="str">
            <v>Balance Sheet</v>
          </cell>
          <cell r="J873" t="str">
            <v>XAF</v>
          </cell>
          <cell r="K873" t="str">
            <v>Banques, chèques postaux, caisse</v>
          </cell>
        </row>
        <row r="874">
          <cell r="A874" t="str">
            <v>A873</v>
          </cell>
          <cell r="B874" t="str">
            <v>"536000 - Établissements financiers, intérêts courus - OHADA"</v>
          </cell>
          <cell r="C874" t="str">
            <v>Établissements financiers, intérêts courus</v>
          </cell>
          <cell r="D874" t="str">
            <v>OHADA</v>
          </cell>
          <cell r="E874" t="str">
            <v>530000 - Établissements financiers et assimilés - OHADA</v>
          </cell>
          <cell r="F874">
            <v>536000</v>
          </cell>
          <cell r="G874" t="str">
            <v>0</v>
          </cell>
          <cell r="H874" t="str">
            <v>Asset</v>
          </cell>
          <cell r="I874" t="str">
            <v>Balance Sheet</v>
          </cell>
          <cell r="J874" t="str">
            <v>XAF</v>
          </cell>
          <cell r="K874" t="str">
            <v>Banques, chèques postaux, caisse</v>
          </cell>
        </row>
        <row r="875">
          <cell r="A875" t="str">
            <v>A874</v>
          </cell>
          <cell r="B875" t="str">
            <v>"538000 - Autres organismes financiers - OHADA"</v>
          </cell>
          <cell r="C875" t="str">
            <v>Autres organismes financiers</v>
          </cell>
          <cell r="D875" t="str">
            <v>OHADA</v>
          </cell>
          <cell r="E875" t="str">
            <v>530000 - Établissements financiers et assimilés - OHADA</v>
          </cell>
          <cell r="F875">
            <v>538000</v>
          </cell>
          <cell r="G875" t="str">
            <v>0</v>
          </cell>
          <cell r="H875" t="str">
            <v>Asset</v>
          </cell>
          <cell r="I875" t="str">
            <v>Balance Sheet</v>
          </cell>
          <cell r="J875" t="str">
            <v>XAF</v>
          </cell>
          <cell r="K875" t="str">
            <v>Banques, chèques postaux, caisse</v>
          </cell>
        </row>
        <row r="876">
          <cell r="A876" t="str">
            <v>A875</v>
          </cell>
          <cell r="B876" t="str">
            <v>"540000 - Instruments de trésorerie - OHADA"</v>
          </cell>
          <cell r="C876" t="str">
            <v>Instruments de trésorerie</v>
          </cell>
          <cell r="D876" t="str">
            <v>OHADA</v>
          </cell>
          <cell r="E876" t="str">
            <v>5 - Comptes de trésorerie - OHADA</v>
          </cell>
          <cell r="F876">
            <v>540000</v>
          </cell>
          <cell r="G876" t="str">
            <v>1</v>
          </cell>
          <cell r="H876" t="str">
            <v>Asset</v>
          </cell>
          <cell r="I876" t="str">
            <v>Balance Sheet</v>
          </cell>
          <cell r="J876" t="str">
            <v>XAF</v>
          </cell>
          <cell r="K876" t="str">
            <v>Banques, chèques postaux, caisse</v>
          </cell>
        </row>
        <row r="877">
          <cell r="A877" t="str">
            <v>A876</v>
          </cell>
          <cell r="B877" t="str">
            <v>"541000 - Options de taux d’intérêt - OHADA"</v>
          </cell>
          <cell r="C877" t="str">
            <v>Options de taux d’intérêt</v>
          </cell>
          <cell r="D877" t="str">
            <v>OHADA</v>
          </cell>
          <cell r="E877" t="str">
            <v>540000 - Instruments de trésorerie - OHADA</v>
          </cell>
          <cell r="F877">
            <v>541000</v>
          </cell>
          <cell r="G877" t="str">
            <v>0</v>
          </cell>
          <cell r="H877" t="str">
            <v>Asset</v>
          </cell>
          <cell r="I877" t="str">
            <v>Balance Sheet</v>
          </cell>
          <cell r="J877" t="str">
            <v>XAF</v>
          </cell>
          <cell r="K877" t="str">
            <v>Banques, chèques postaux, caisse</v>
          </cell>
        </row>
        <row r="878">
          <cell r="A878" t="str">
            <v>A877</v>
          </cell>
          <cell r="B878" t="str">
            <v>"542000 - Options de taux de change - OHADA"</v>
          </cell>
          <cell r="C878" t="str">
            <v>Options de taux de change</v>
          </cell>
          <cell r="D878" t="str">
            <v>OHADA</v>
          </cell>
          <cell r="E878" t="str">
            <v>540000 - Instruments de trésorerie - OHADA</v>
          </cell>
          <cell r="F878">
            <v>542000</v>
          </cell>
          <cell r="G878" t="str">
            <v>0</v>
          </cell>
          <cell r="H878" t="str">
            <v>Asset</v>
          </cell>
          <cell r="I878" t="str">
            <v>Balance Sheet</v>
          </cell>
          <cell r="J878" t="str">
            <v>XAF</v>
          </cell>
          <cell r="K878" t="str">
            <v>Banques, chèques postaux, caisse</v>
          </cell>
        </row>
        <row r="879">
          <cell r="A879" t="str">
            <v>A878</v>
          </cell>
          <cell r="B879" t="str">
            <v>"543000 - Options de taux boursiers - OHADA"</v>
          </cell>
          <cell r="C879" t="str">
            <v>Options de taux boursiers</v>
          </cell>
          <cell r="D879" t="str">
            <v>OHADA</v>
          </cell>
          <cell r="E879" t="str">
            <v>540000 - Instruments de trésorerie - OHADA</v>
          </cell>
          <cell r="F879">
            <v>543000</v>
          </cell>
          <cell r="G879" t="str">
            <v>0</v>
          </cell>
          <cell r="H879" t="str">
            <v>Asset</v>
          </cell>
          <cell r="I879" t="str">
            <v>Balance Sheet</v>
          </cell>
          <cell r="J879" t="str">
            <v>XAF</v>
          </cell>
          <cell r="K879" t="str">
            <v>Banques, chèques postaux, caisse</v>
          </cell>
        </row>
        <row r="880">
          <cell r="A880" t="str">
            <v>A879</v>
          </cell>
          <cell r="B880" t="str">
            <v>"544000 - Instruments de marchés à terme - OHADA"</v>
          </cell>
          <cell r="C880" t="str">
            <v>Instruments de marchés à terme</v>
          </cell>
          <cell r="D880" t="str">
            <v>OHADA</v>
          </cell>
          <cell r="E880" t="str">
            <v>540000 - Instruments de trésorerie - OHADA</v>
          </cell>
          <cell r="F880">
            <v>544000</v>
          </cell>
          <cell r="G880" t="str">
            <v>0</v>
          </cell>
          <cell r="H880" t="str">
            <v>Asset</v>
          </cell>
          <cell r="I880" t="str">
            <v>Balance Sheet</v>
          </cell>
          <cell r="J880" t="str">
            <v>XAF</v>
          </cell>
          <cell r="K880" t="str">
            <v>Banques, chèques postaux, caisse</v>
          </cell>
        </row>
        <row r="881">
          <cell r="A881" t="str">
            <v>A880</v>
          </cell>
          <cell r="B881" t="str">
            <v>"545000 - Avoirs d’or et autres métaux précieux - OHADA"</v>
          </cell>
          <cell r="C881" t="str">
            <v>Avoirs d’or et autres métaux précieux</v>
          </cell>
          <cell r="D881" t="str">
            <v>OHADA</v>
          </cell>
          <cell r="E881" t="str">
            <v>540000 - Instruments de trésorerie - OHADA</v>
          </cell>
          <cell r="F881">
            <v>545000</v>
          </cell>
          <cell r="G881" t="str">
            <v>0</v>
          </cell>
          <cell r="H881" t="str">
            <v>Asset</v>
          </cell>
          <cell r="I881" t="str">
            <v>Balance Sheet</v>
          </cell>
          <cell r="J881" t="str">
            <v>XAF</v>
          </cell>
          <cell r="K881" t="str">
            <v>Banques, chèques postaux, caisse</v>
          </cell>
        </row>
        <row r="882">
          <cell r="A882" t="str">
            <v>A881</v>
          </cell>
          <cell r="B882" t="str">
            <v>"550000 - Instruments de monnaie électronique - OHADA"</v>
          </cell>
          <cell r="C882" t="str">
            <v>Instruments de monnaie électronique</v>
          </cell>
          <cell r="D882" t="str">
            <v>OHADA</v>
          </cell>
          <cell r="E882" t="str">
            <v>5 - Comptes de trésorerie - OHADA</v>
          </cell>
          <cell r="F882">
            <v>550000</v>
          </cell>
          <cell r="G882" t="str">
            <v>1</v>
          </cell>
          <cell r="H882" t="str">
            <v>Asset</v>
          </cell>
          <cell r="I882" t="str">
            <v>Balance Sheet</v>
          </cell>
          <cell r="J882" t="str">
            <v>XAF</v>
          </cell>
          <cell r="K882" t="str">
            <v>Banques, chèques postaux, caisse</v>
          </cell>
        </row>
        <row r="883">
          <cell r="A883" t="str">
            <v>A882</v>
          </cell>
          <cell r="B883" t="str">
            <v>"551000 - Monnaie électronique carte carburant - OHADA"</v>
          </cell>
          <cell r="C883" t="str">
            <v>Monnaie électronique carte carburant</v>
          </cell>
          <cell r="D883" t="str">
            <v>OHADA</v>
          </cell>
          <cell r="E883" t="str">
            <v>550000 - Instruments de monnaie électronique - OHADA</v>
          </cell>
          <cell r="F883">
            <v>551000</v>
          </cell>
          <cell r="G883" t="str">
            <v>0</v>
          </cell>
          <cell r="H883" t="str">
            <v>Asset</v>
          </cell>
          <cell r="I883" t="str">
            <v>Balance Sheet</v>
          </cell>
          <cell r="J883" t="str">
            <v>XAF</v>
          </cell>
          <cell r="K883" t="str">
            <v>Banques, chèques postaux, caisse</v>
          </cell>
        </row>
        <row r="884">
          <cell r="A884" t="str">
            <v>A883</v>
          </cell>
          <cell r="B884" t="str">
            <v>"552000 - Monnaie électronique téléphone portable - OHADA"</v>
          </cell>
          <cell r="C884" t="str">
            <v>Monnaie électronique téléphone portable</v>
          </cell>
          <cell r="D884" t="str">
            <v>OHADA</v>
          </cell>
          <cell r="E884" t="str">
            <v>550000 - Instruments de monnaie électronique - OHADA</v>
          </cell>
          <cell r="F884">
            <v>552000</v>
          </cell>
          <cell r="G884" t="str">
            <v>0</v>
          </cell>
          <cell r="H884" t="str">
            <v>Asset</v>
          </cell>
          <cell r="I884" t="str">
            <v>Balance Sheet</v>
          </cell>
          <cell r="J884" t="str">
            <v>XAF</v>
          </cell>
          <cell r="K884" t="str">
            <v>Banques, chèques postaux, caisse</v>
          </cell>
        </row>
        <row r="885">
          <cell r="A885" t="str">
            <v>A884</v>
          </cell>
          <cell r="B885" t="str">
            <v>"553000 - Monnaie électronique carte péage - OHADA"</v>
          </cell>
          <cell r="C885" t="str">
            <v>Monnaie électronique carte péage</v>
          </cell>
          <cell r="D885" t="str">
            <v>OHADA</v>
          </cell>
          <cell r="E885" t="str">
            <v>550000 - Instruments de monnaie électronique - OHADA</v>
          </cell>
          <cell r="F885">
            <v>553000</v>
          </cell>
          <cell r="G885" t="str">
            <v>0</v>
          </cell>
          <cell r="H885" t="str">
            <v>Asset</v>
          </cell>
          <cell r="I885" t="str">
            <v>Balance Sheet</v>
          </cell>
          <cell r="J885" t="str">
            <v>XAF</v>
          </cell>
          <cell r="K885" t="str">
            <v>Banques, chèques postaux, caisse</v>
          </cell>
        </row>
        <row r="886">
          <cell r="A886" t="str">
            <v>A885</v>
          </cell>
          <cell r="B886" t="str">
            <v>"554000 - Porte - monnaie électronique - OHADA"</v>
          </cell>
          <cell r="C886" t="str">
            <v>Porte-monnaie électronique</v>
          </cell>
          <cell r="D886" t="str">
            <v>OHADA</v>
          </cell>
          <cell r="E886" t="str">
            <v>550000 - Instruments de monnaie électronique - OHADA</v>
          </cell>
          <cell r="F886">
            <v>554000</v>
          </cell>
          <cell r="G886" t="str">
            <v>0</v>
          </cell>
          <cell r="H886" t="str">
            <v>Asset</v>
          </cell>
          <cell r="I886" t="str">
            <v>Balance Sheet</v>
          </cell>
          <cell r="J886" t="str">
            <v>XAF</v>
          </cell>
          <cell r="K886" t="str">
            <v>Banques, chèques postaux, caisse</v>
          </cell>
        </row>
        <row r="887">
          <cell r="A887" t="str">
            <v>A886</v>
          </cell>
          <cell r="B887" t="str">
            <v>"558000 - Autres instruments de monnaies électroniques - OHADA"</v>
          </cell>
          <cell r="C887" t="str">
            <v>Autres instruments de monnaies électroniques</v>
          </cell>
          <cell r="D887" t="str">
            <v>OHADA</v>
          </cell>
          <cell r="E887" t="str">
            <v>550000 - Instruments de monnaie électronique - OHADA</v>
          </cell>
          <cell r="F887">
            <v>558000</v>
          </cell>
          <cell r="G887" t="str">
            <v>0</v>
          </cell>
          <cell r="H887" t="str">
            <v>Asset</v>
          </cell>
          <cell r="I887" t="str">
            <v>Balance Sheet</v>
          </cell>
          <cell r="J887" t="str">
            <v>XAF</v>
          </cell>
          <cell r="K887" t="str">
            <v>Banques, chèques postaux, caisse</v>
          </cell>
        </row>
        <row r="888">
          <cell r="A888" t="str">
            <v>A887</v>
          </cell>
          <cell r="B888" t="str">
            <v>"560000 - Banques, crédits de trésorerie et d’escompte - OHADA"</v>
          </cell>
          <cell r="C888" t="str">
            <v>Banques, crédits de trésorerie et d’escompte</v>
          </cell>
          <cell r="D888" t="str">
            <v>OHADA</v>
          </cell>
          <cell r="E888" t="str">
            <v>5 - Comptes de trésorerie - OHADA</v>
          </cell>
          <cell r="F888">
            <v>560000</v>
          </cell>
          <cell r="G888" t="str">
            <v>1</v>
          </cell>
          <cell r="H888" t="str">
            <v>Asset</v>
          </cell>
          <cell r="I888" t="str">
            <v>Balance Sheet</v>
          </cell>
          <cell r="J888" t="str">
            <v>XAF</v>
          </cell>
          <cell r="K888" t="str">
            <v>Banques, chèques postaux, caisse</v>
          </cell>
        </row>
        <row r="889">
          <cell r="A889" t="str">
            <v>A888</v>
          </cell>
          <cell r="B889" t="str">
            <v>"561000 - Crédits de trésorerie - OHADA"</v>
          </cell>
          <cell r="C889" t="str">
            <v>Crédits de trésorerie</v>
          </cell>
          <cell r="D889" t="str">
            <v>OHADA</v>
          </cell>
          <cell r="E889" t="str">
            <v>560000 - Banques, crédits de trésorerie et d’escompte - OHADA</v>
          </cell>
          <cell r="F889">
            <v>561000</v>
          </cell>
          <cell r="G889" t="str">
            <v>0</v>
          </cell>
          <cell r="H889" t="str">
            <v>Asset</v>
          </cell>
          <cell r="I889" t="str">
            <v>Balance Sheet</v>
          </cell>
          <cell r="J889" t="str">
            <v>XAF</v>
          </cell>
          <cell r="K889" t="str">
            <v>Banques, établissements financiers et crédits de trésorerie </v>
          </cell>
        </row>
        <row r="890">
          <cell r="A890" t="str">
            <v>A889</v>
          </cell>
          <cell r="B890" t="str">
            <v>"564000 - Escompte de crédits de campagne - OHADA"</v>
          </cell>
          <cell r="C890" t="str">
            <v>Escompte de crédits de campagne</v>
          </cell>
          <cell r="D890" t="str">
            <v>OHADA</v>
          </cell>
          <cell r="E890" t="str">
            <v>560000 - Banques, crédits de trésorerie et d’escompte - OHADA</v>
          </cell>
          <cell r="F890">
            <v>564000</v>
          </cell>
          <cell r="G890" t="str">
            <v>0</v>
          </cell>
          <cell r="H890" t="str">
            <v>Asset</v>
          </cell>
          <cell r="I890" t="str">
            <v>Balance Sheet</v>
          </cell>
          <cell r="J890" t="str">
            <v>XAF</v>
          </cell>
          <cell r="K890" t="str">
            <v>Banques, crédits d'escompte</v>
          </cell>
        </row>
        <row r="891">
          <cell r="A891" t="str">
            <v>A890</v>
          </cell>
          <cell r="B891" t="str">
            <v>"565000 - Escompte de crédits ordinaires - OHADA"</v>
          </cell>
          <cell r="C891" t="str">
            <v>Escompte de crédits ordinaires</v>
          </cell>
          <cell r="D891" t="str">
            <v>OHADA</v>
          </cell>
          <cell r="E891" t="str">
            <v>560000 - Banques, crédits de trésorerie et d’escompte - OHADA</v>
          </cell>
          <cell r="F891">
            <v>565000</v>
          </cell>
          <cell r="G891" t="str">
            <v>0</v>
          </cell>
          <cell r="H891" t="str">
            <v>Asset</v>
          </cell>
          <cell r="I891" t="str">
            <v>Balance Sheet</v>
          </cell>
          <cell r="J891" t="str">
            <v>XAF</v>
          </cell>
          <cell r="K891" t="str">
            <v>Banques, crédits d'escompte</v>
          </cell>
        </row>
        <row r="892">
          <cell r="A892" t="str">
            <v>A891</v>
          </cell>
          <cell r="B892" t="str">
            <v>"566000 - Banques, crédits de trésorerie, intérêts courus - OHADA"</v>
          </cell>
          <cell r="C892" t="str">
            <v>Banques, crédits de trésorerie, intérêts courus</v>
          </cell>
          <cell r="D892" t="str">
            <v>OHADA</v>
          </cell>
          <cell r="E892" t="str">
            <v>560000 - Banques, crédits de trésorerie et d’escompte - OHADA</v>
          </cell>
          <cell r="F892">
            <v>566000</v>
          </cell>
          <cell r="G892" t="str">
            <v>0</v>
          </cell>
          <cell r="H892" t="str">
            <v>Asset</v>
          </cell>
          <cell r="I892" t="str">
            <v>Balance Sheet</v>
          </cell>
          <cell r="J892" t="str">
            <v>XAF</v>
          </cell>
          <cell r="K892" t="str">
            <v>Banques, établissements financiers et crédits de trésorerie </v>
          </cell>
        </row>
        <row r="893">
          <cell r="A893" t="str">
            <v>A892</v>
          </cell>
          <cell r="B893" t="str">
            <v>"570000 - Caisse - OHADA"</v>
          </cell>
          <cell r="C893" t="str">
            <v>Caisse</v>
          </cell>
          <cell r="D893" t="str">
            <v>OHADA</v>
          </cell>
          <cell r="E893" t="str">
            <v>5 - Comptes de trésorerie - OHADA</v>
          </cell>
          <cell r="F893">
            <v>570000</v>
          </cell>
          <cell r="G893" t="str">
            <v>1</v>
          </cell>
          <cell r="H893" t="str">
            <v>Asset</v>
          </cell>
          <cell r="I893" t="str">
            <v>Balance Sheet</v>
          </cell>
          <cell r="J893" t="str">
            <v>XAF</v>
          </cell>
          <cell r="K893" t="str">
            <v>Banques, chèques postaux, caisse</v>
          </cell>
        </row>
        <row r="894">
          <cell r="A894" t="str">
            <v>A893</v>
          </cell>
          <cell r="B894" t="str">
            <v>"571000 - Caisse siège social - OHADA"</v>
          </cell>
          <cell r="C894" t="str">
            <v>Caisse siège social</v>
          </cell>
          <cell r="D894" t="str">
            <v>OHADA</v>
          </cell>
          <cell r="E894" t="str">
            <v>570000 - Caisse - OHADA</v>
          </cell>
          <cell r="F894">
            <v>571000</v>
          </cell>
          <cell r="G894" t="str">
            <v>1</v>
          </cell>
          <cell r="H894" t="str">
            <v>Asset</v>
          </cell>
          <cell r="I894" t="str">
            <v>Balance Sheet</v>
          </cell>
          <cell r="J894" t="str">
            <v>XAF</v>
          </cell>
          <cell r="K894" t="str">
            <v>Banques, chèques postaux, caisse</v>
          </cell>
        </row>
        <row r="895">
          <cell r="A895" t="str">
            <v>A894</v>
          </cell>
          <cell r="B895" t="str">
            <v>"571100 - Caisse en monnaie nationale - OHADA"</v>
          </cell>
          <cell r="C895" t="str">
            <v>Caisse en monnaie nationale</v>
          </cell>
          <cell r="D895" t="str">
            <v>OHADA</v>
          </cell>
          <cell r="E895" t="str">
            <v>571000 - Caisse siège social - OHADA</v>
          </cell>
          <cell r="F895">
            <v>571100</v>
          </cell>
          <cell r="G895" t="str">
            <v>0</v>
          </cell>
          <cell r="H895" t="str">
            <v>Asset</v>
          </cell>
          <cell r="I895" t="str">
            <v>Balance Sheet</v>
          </cell>
          <cell r="J895" t="str">
            <v>XAF</v>
          </cell>
          <cell r="K895" t="str">
            <v>Banques, chèques postaux, caisse</v>
          </cell>
        </row>
        <row r="896">
          <cell r="A896" t="str">
            <v>A895</v>
          </cell>
          <cell r="B896" t="str">
            <v>"571200 - Caisse en devises - OHADA"</v>
          </cell>
          <cell r="C896" t="str">
            <v>Caisse en devises</v>
          </cell>
          <cell r="D896" t="str">
            <v>OHADA</v>
          </cell>
          <cell r="E896" t="str">
            <v>571000 - Caisse siège social - OHADA</v>
          </cell>
          <cell r="F896">
            <v>571200</v>
          </cell>
          <cell r="G896" t="str">
            <v>0</v>
          </cell>
          <cell r="H896" t="str">
            <v>Asset</v>
          </cell>
          <cell r="I896" t="str">
            <v>Balance Sheet</v>
          </cell>
          <cell r="J896" t="str">
            <v>XAF</v>
          </cell>
          <cell r="K896" t="str">
            <v>Banques, chèques postaux, caisse</v>
          </cell>
        </row>
        <row r="897">
          <cell r="A897" t="str">
            <v>A896</v>
          </cell>
          <cell r="B897" t="str">
            <v>"572000 - Caisse succursale A - OHADA"</v>
          </cell>
          <cell r="C897" t="str">
            <v>Caisse succursale A</v>
          </cell>
          <cell r="D897" t="str">
            <v>OHADA</v>
          </cell>
          <cell r="E897" t="str">
            <v>570000 - Caisse - OHADA</v>
          </cell>
          <cell r="F897">
            <v>572000</v>
          </cell>
          <cell r="G897" t="str">
            <v>1</v>
          </cell>
          <cell r="H897" t="str">
            <v>Asset</v>
          </cell>
          <cell r="I897" t="str">
            <v>Balance Sheet</v>
          </cell>
          <cell r="J897" t="str">
            <v>XAF</v>
          </cell>
          <cell r="K897" t="str">
            <v>Banques, chèques postaux, caisse</v>
          </cell>
        </row>
        <row r="898">
          <cell r="A898" t="str">
            <v>A897</v>
          </cell>
          <cell r="B898" t="str">
            <v>"572100 - En monnaie nationale - OHADA"</v>
          </cell>
          <cell r="C898" t="str">
            <v>En monnaie nationale</v>
          </cell>
          <cell r="D898" t="str">
            <v>OHADA</v>
          </cell>
          <cell r="E898" t="str">
            <v>572000 - Caisse succursale A - OHADA</v>
          </cell>
          <cell r="F898">
            <v>572100</v>
          </cell>
          <cell r="G898" t="str">
            <v>0</v>
          </cell>
          <cell r="H898" t="str">
            <v>Asset</v>
          </cell>
          <cell r="I898" t="str">
            <v>Balance Sheet</v>
          </cell>
          <cell r="J898" t="str">
            <v>XAF</v>
          </cell>
          <cell r="K898" t="str">
            <v>Banques, chèques postaux, caisse</v>
          </cell>
        </row>
        <row r="899">
          <cell r="A899" t="str">
            <v>A898</v>
          </cell>
          <cell r="B899" t="str">
            <v>"572200 - En devises - OHADA"</v>
          </cell>
          <cell r="C899" t="str">
            <v>En devises</v>
          </cell>
          <cell r="D899" t="str">
            <v>OHADA</v>
          </cell>
          <cell r="E899" t="str">
            <v>572000 - Caisse succursale A - OHADA</v>
          </cell>
          <cell r="F899">
            <v>572200</v>
          </cell>
          <cell r="G899" t="str">
            <v>0</v>
          </cell>
          <cell r="H899" t="str">
            <v>Asset</v>
          </cell>
          <cell r="I899" t="str">
            <v>Balance Sheet</v>
          </cell>
          <cell r="J899" t="str">
            <v>XAF</v>
          </cell>
          <cell r="K899" t="str">
            <v>Banques, chèques postaux, caisse</v>
          </cell>
        </row>
        <row r="900">
          <cell r="A900" t="str">
            <v>A899</v>
          </cell>
          <cell r="B900" t="str">
            <v>"573000 - Caisse succursale B - OHADA"</v>
          </cell>
          <cell r="C900" t="str">
            <v>Caisse succursale B</v>
          </cell>
          <cell r="D900" t="str">
            <v>OHADA</v>
          </cell>
          <cell r="E900" t="str">
            <v>570000 - Caisse - OHADA</v>
          </cell>
          <cell r="F900">
            <v>573000</v>
          </cell>
          <cell r="G900" t="str">
            <v>1</v>
          </cell>
          <cell r="H900" t="str">
            <v>Asset</v>
          </cell>
          <cell r="I900" t="str">
            <v>Balance Sheet</v>
          </cell>
          <cell r="J900" t="str">
            <v>XAF</v>
          </cell>
          <cell r="K900" t="str">
            <v>Banques, chèques postaux, caisse</v>
          </cell>
        </row>
        <row r="901">
          <cell r="A901" t="str">
            <v>A900</v>
          </cell>
          <cell r="B901" t="str">
            <v>"573100 - En monnaie nationale - OHADA"</v>
          </cell>
          <cell r="C901" t="str">
            <v>En monnaie nationale</v>
          </cell>
          <cell r="D901" t="str">
            <v>OHADA</v>
          </cell>
          <cell r="E901" t="str">
            <v>573000 - Caisse succursale B - OHADA</v>
          </cell>
          <cell r="F901">
            <v>573100</v>
          </cell>
          <cell r="G901" t="str">
            <v>0</v>
          </cell>
          <cell r="H901" t="str">
            <v>Asset</v>
          </cell>
          <cell r="I901" t="str">
            <v>Balance Sheet</v>
          </cell>
          <cell r="J901" t="str">
            <v>XAF</v>
          </cell>
          <cell r="K901" t="str">
            <v>Banques, chèques postaux, caisse</v>
          </cell>
        </row>
        <row r="902">
          <cell r="A902" t="str">
            <v>A901</v>
          </cell>
          <cell r="B902" t="str">
            <v>"573200 - En devises - OHADA"</v>
          </cell>
          <cell r="C902" t="str">
            <v>En devises</v>
          </cell>
          <cell r="D902" t="str">
            <v>OHADA</v>
          </cell>
          <cell r="E902" t="str">
            <v>573000 - Caisse succursale B - OHADA</v>
          </cell>
          <cell r="F902">
            <v>573200</v>
          </cell>
          <cell r="G902" t="str">
            <v>0</v>
          </cell>
          <cell r="H902" t="str">
            <v>Asset</v>
          </cell>
          <cell r="I902" t="str">
            <v>Balance Sheet</v>
          </cell>
          <cell r="J902" t="str">
            <v>XAF</v>
          </cell>
          <cell r="K902" t="str">
            <v>Banques, chèques postaux, caisse</v>
          </cell>
        </row>
        <row r="903">
          <cell r="A903" t="str">
            <v>A902</v>
          </cell>
          <cell r="B903" t="str">
            <v>"580000 - Régies d’avances, accréditifs et virements internes - OHADA"</v>
          </cell>
          <cell r="C903" t="str">
            <v>Régies d’avances, accréditifs et virements internes</v>
          </cell>
          <cell r="D903" t="str">
            <v>OHADA</v>
          </cell>
          <cell r="E903" t="str">
            <v>5 - Comptes de trésorerie - OHADA</v>
          </cell>
          <cell r="F903">
            <v>580000</v>
          </cell>
          <cell r="G903" t="str">
            <v>1</v>
          </cell>
          <cell r="H903" t="str">
            <v>Asset</v>
          </cell>
          <cell r="I903" t="str">
            <v>Balance Sheet</v>
          </cell>
          <cell r="J903" t="str">
            <v>XAF</v>
          </cell>
          <cell r="K903" t="str">
            <v>Banques, chèques postaux, caisse</v>
          </cell>
        </row>
        <row r="904">
          <cell r="A904" t="str">
            <v>A903</v>
          </cell>
          <cell r="B904" t="str">
            <v>"581000 - Régies d’avance - OHADA"</v>
          </cell>
          <cell r="C904" t="str">
            <v>Régies d’avance</v>
          </cell>
          <cell r="D904" t="str">
            <v>OHADA</v>
          </cell>
          <cell r="E904" t="str">
            <v>580000 - Régies d’avances, accréditifs et virements internes - OHADA</v>
          </cell>
          <cell r="F904">
            <v>581000</v>
          </cell>
          <cell r="G904" t="str">
            <v>0</v>
          </cell>
          <cell r="H904" t="str">
            <v>Asset</v>
          </cell>
          <cell r="I904" t="str">
            <v>Balance Sheet</v>
          </cell>
          <cell r="J904" t="str">
            <v>XAF</v>
          </cell>
          <cell r="K904" t="str">
            <v>Banques, chèques postaux, caisse</v>
          </cell>
        </row>
        <row r="905">
          <cell r="A905" t="str">
            <v>A904</v>
          </cell>
          <cell r="B905" t="str">
            <v>"582000 - Accréditifs - OHADA"</v>
          </cell>
          <cell r="C905" t="str">
            <v>Accréditifs</v>
          </cell>
          <cell r="D905" t="str">
            <v>OHADA</v>
          </cell>
          <cell r="E905" t="str">
            <v>580000 - Régies d’avances, accréditifs et virements internes - OHADA</v>
          </cell>
          <cell r="F905">
            <v>582000</v>
          </cell>
          <cell r="G905" t="str">
            <v>0</v>
          </cell>
          <cell r="H905" t="str">
            <v>Asset</v>
          </cell>
          <cell r="I905" t="str">
            <v>Balance Sheet</v>
          </cell>
          <cell r="J905" t="str">
            <v>XAF</v>
          </cell>
          <cell r="K905" t="str">
            <v>Banques, chèques postaux, caisse</v>
          </cell>
        </row>
        <row r="906">
          <cell r="A906" t="str">
            <v>A905</v>
          </cell>
          <cell r="B906" t="str">
            <v>"585000 - Virements de fonds - OHADA"</v>
          </cell>
          <cell r="C906" t="str">
            <v>Virements de fonds</v>
          </cell>
          <cell r="D906" t="str">
            <v>OHADA</v>
          </cell>
          <cell r="E906" t="str">
            <v>580000 - Régies d’avances, accréditifs et virements internes - OHADA</v>
          </cell>
          <cell r="F906">
            <v>585000</v>
          </cell>
          <cell r="G906" t="str">
            <v>0</v>
          </cell>
          <cell r="H906" t="str">
            <v>Asset</v>
          </cell>
          <cell r="I906" t="str">
            <v>Balance Sheet</v>
          </cell>
          <cell r="J906" t="str">
            <v>XAF</v>
          </cell>
          <cell r="K906" t="str">
            <v>Banques, chèques postaux, caisse</v>
          </cell>
        </row>
        <row r="907">
          <cell r="A907" t="str">
            <v>A906</v>
          </cell>
          <cell r="B907" t="str">
            <v>"588000 - Autres virements internes - OHADA"</v>
          </cell>
          <cell r="C907" t="str">
            <v>Autres virements internes</v>
          </cell>
          <cell r="D907" t="str">
            <v>OHADA</v>
          </cell>
          <cell r="E907" t="str">
            <v>580000 - Régies d’avances, accréditifs et virements internes - OHADA</v>
          </cell>
          <cell r="F907">
            <v>588000</v>
          </cell>
          <cell r="G907" t="str">
            <v>0</v>
          </cell>
          <cell r="H907" t="str">
            <v>Asset</v>
          </cell>
          <cell r="I907" t="str">
            <v>Balance Sheet</v>
          </cell>
          <cell r="J907" t="str">
            <v>XAF</v>
          </cell>
          <cell r="K907" t="str">
            <v>Banques, chèques postaux, caisse</v>
          </cell>
        </row>
        <row r="908">
          <cell r="A908" t="str">
            <v>A907</v>
          </cell>
          <cell r="B908" t="str">
            <v>"590000 - Dépréciations et provisions pour risque à court terme - OHADA"</v>
          </cell>
          <cell r="C908" t="str">
            <v>Dépréciations et provisions pour risque à court terme</v>
          </cell>
          <cell r="D908" t="str">
            <v>OHADA</v>
          </cell>
          <cell r="E908" t="str">
            <v>5 - Comptes de trésorerie - OHADA</v>
          </cell>
          <cell r="F908">
            <v>590000</v>
          </cell>
          <cell r="G908" t="str">
            <v>1</v>
          </cell>
          <cell r="H908" t="str">
            <v>Asset</v>
          </cell>
          <cell r="I908" t="str">
            <v>Balance Sheet</v>
          </cell>
          <cell r="J908" t="str">
            <v>XAF</v>
          </cell>
          <cell r="K908" t="str">
            <v>Dépréciations trésorerie</v>
          </cell>
        </row>
        <row r="909">
          <cell r="A909" t="str">
            <v>A908</v>
          </cell>
          <cell r="B909" t="str">
            <v>"590000 - Dépréciations des titres de placement - OHADA"</v>
          </cell>
          <cell r="C909" t="str">
            <v>Dépréciations des titres de placement</v>
          </cell>
          <cell r="D909" t="str">
            <v>OHADA</v>
          </cell>
          <cell r="E909" t="str">
            <v>590000 - Dépréciations et provisions pour risque à court terme - OHADA</v>
          </cell>
          <cell r="F909">
            <v>590000</v>
          </cell>
          <cell r="G909" t="str">
            <v>0</v>
          </cell>
          <cell r="H909" t="str">
            <v>Asset</v>
          </cell>
          <cell r="I909" t="str">
            <v>Balance Sheet</v>
          </cell>
          <cell r="J909" t="str">
            <v>XAF</v>
          </cell>
          <cell r="K909" t="str">
            <v>Dépréciations trésorerie</v>
          </cell>
        </row>
        <row r="910">
          <cell r="A910" t="str">
            <v>A909</v>
          </cell>
          <cell r="B910" t="str">
            <v>"591000 - Dépréciations des titres et valeurs à encaisser - OHADA"</v>
          </cell>
          <cell r="C910" t="str">
            <v>Dépréciations des titres et valeurs à encaisser</v>
          </cell>
          <cell r="D910" t="str">
            <v>OHADA</v>
          </cell>
          <cell r="E910" t="str">
            <v>590000 - Dépréciations et provisions pour risque à court terme - OHADA</v>
          </cell>
          <cell r="F910">
            <v>591000</v>
          </cell>
          <cell r="G910" t="str">
            <v>0</v>
          </cell>
          <cell r="H910" t="str">
            <v>Asset</v>
          </cell>
          <cell r="I910" t="str">
            <v>Balance Sheet</v>
          </cell>
          <cell r="J910" t="str">
            <v>XAF</v>
          </cell>
          <cell r="K910" t="str">
            <v>Dépréciations trésorerie</v>
          </cell>
        </row>
        <row r="911">
          <cell r="A911" t="str">
            <v>A910</v>
          </cell>
          <cell r="B911" t="str">
            <v>"592000 - Dépréciations des comptes banques - OHADA"</v>
          </cell>
          <cell r="C911" t="str">
            <v>Dépréciations des comptes banques</v>
          </cell>
          <cell r="D911" t="str">
            <v>OHADA</v>
          </cell>
          <cell r="E911" t="str">
            <v>590000 - Dépréciations et provisions pour risque à court terme - OHADA</v>
          </cell>
          <cell r="F911">
            <v>592000</v>
          </cell>
          <cell r="G911" t="str">
            <v>0</v>
          </cell>
          <cell r="H911" t="str">
            <v>Asset</v>
          </cell>
          <cell r="I911" t="str">
            <v>Balance Sheet</v>
          </cell>
          <cell r="J911" t="str">
            <v>XAF</v>
          </cell>
          <cell r="K911" t="str">
            <v>Dépréciations trésorerie</v>
          </cell>
        </row>
        <row r="912">
          <cell r="A912" t="str">
            <v>A911</v>
          </cell>
          <cell r="B912" t="str">
            <v>"593000 - Dépréciations des comptes établissements financiers et assimilés - OHADA"</v>
          </cell>
          <cell r="C912" t="str">
            <v>Dépréciations des comptes établissements financiers et assimilés</v>
          </cell>
          <cell r="D912" t="str">
            <v>OHADA</v>
          </cell>
          <cell r="E912" t="str">
            <v>590000 - Dépréciations et provisions pour risque à court terme - OHADA</v>
          </cell>
          <cell r="F912">
            <v>593000</v>
          </cell>
          <cell r="G912" t="str">
            <v>0</v>
          </cell>
          <cell r="H912" t="str">
            <v>Asset</v>
          </cell>
          <cell r="I912" t="str">
            <v>Balance Sheet</v>
          </cell>
          <cell r="J912" t="str">
            <v>XAF</v>
          </cell>
          <cell r="K912" t="str">
            <v>Dépréciations trésorerie</v>
          </cell>
        </row>
        <row r="913">
          <cell r="A913" t="str">
            <v>A912</v>
          </cell>
          <cell r="B913" t="str">
            <v>"594000 - Dépréciations des comptes d’instruments de trésorerie - OHADA"</v>
          </cell>
          <cell r="C913" t="str">
            <v>Dépréciations des comptes d’instruments de trésorerie</v>
          </cell>
          <cell r="D913" t="str">
            <v>OHADA</v>
          </cell>
          <cell r="E913" t="str">
            <v>590000 - Dépréciations et provisions pour risque à court terme - OHADA</v>
          </cell>
          <cell r="F913">
            <v>594000</v>
          </cell>
          <cell r="G913" t="str">
            <v>0</v>
          </cell>
          <cell r="H913" t="str">
            <v>Asset</v>
          </cell>
          <cell r="I913" t="str">
            <v>Balance Sheet</v>
          </cell>
          <cell r="J913" t="str">
            <v>XAF</v>
          </cell>
          <cell r="K913" t="str">
            <v>Dépréciations trésorerie</v>
          </cell>
        </row>
        <row r="914">
          <cell r="A914" t="str">
            <v>A913</v>
          </cell>
          <cell r="B914" t="str">
            <v>"599000 - Provisions pour risque à court terme à caractère financier - OHADA"</v>
          </cell>
          <cell r="C914" t="str">
            <v>Provisions pour risque à court terme à caractère financier</v>
          </cell>
          <cell r="D914" t="str">
            <v>OHADA</v>
          </cell>
          <cell r="E914" t="str">
            <v>590000 - Dépréciations et provisions pour risque à court terme - OHADA</v>
          </cell>
          <cell r="F914">
            <v>599000</v>
          </cell>
          <cell r="G914" t="str">
            <v>0</v>
          </cell>
          <cell r="H914" t="str">
            <v>Asset</v>
          </cell>
          <cell r="I914" t="str">
            <v>Balance Sheet</v>
          </cell>
          <cell r="J914" t="str">
            <v>XAF</v>
          </cell>
          <cell r="K914" t="str">
            <v>Dépréciations trésorerie</v>
          </cell>
        </row>
        <row r="915">
          <cell r="A915" t="str">
            <v>A914</v>
          </cell>
          <cell r="B915" t="str">
            <v>6 -  Comptes de charges des activités ordinaires  -  OHADA</v>
          </cell>
          <cell r="C915" t="str">
            <v>Comptes de charges des activités ordinaires</v>
          </cell>
          <cell r="D915" t="str">
            <v>OHADA</v>
          </cell>
          <cell r="F915">
            <v>600000</v>
          </cell>
          <cell r="G915" t="str">
            <v>1</v>
          </cell>
          <cell r="H915" t="str">
            <v>Expense</v>
          </cell>
          <cell r="I915" t="str">
            <v>Profit and Loss</v>
          </cell>
          <cell r="J915" t="str">
            <v>XAF</v>
          </cell>
        </row>
        <row r="916">
          <cell r="A916" t="str">
            <v>A915</v>
          </cell>
          <cell r="B916" t="str">
            <v>"600000 - Achats et variations de stocks - OHADA"</v>
          </cell>
          <cell r="C916" t="str">
            <v>Achats et variations de stocks</v>
          </cell>
          <cell r="D916" t="str">
            <v>OHADA</v>
          </cell>
          <cell r="E916" t="str">
            <v>6 - Comptes de charges des activités ordinaires - OHADA</v>
          </cell>
          <cell r="F916">
            <v>600000</v>
          </cell>
          <cell r="G916" t="str">
            <v>1</v>
          </cell>
          <cell r="H916" t="str">
            <v>Expense</v>
          </cell>
          <cell r="I916" t="str">
            <v>Profit and Loss</v>
          </cell>
          <cell r="J916" t="str">
            <v>XAF</v>
          </cell>
        </row>
        <row r="917">
          <cell r="A917" t="str">
            <v>A916</v>
          </cell>
          <cell r="B917" t="str">
            <v>"601000 - Achats de marchandises - OHADA"</v>
          </cell>
          <cell r="C917" t="str">
            <v>Achats de marchandises</v>
          </cell>
          <cell r="D917" t="str">
            <v>OHADA</v>
          </cell>
          <cell r="E917" t="str">
            <v>600000 - Achats et variations de stocks - OHADA</v>
          </cell>
          <cell r="F917">
            <v>601000</v>
          </cell>
          <cell r="G917" t="str">
            <v>1</v>
          </cell>
          <cell r="H917" t="str">
            <v>Expense</v>
          </cell>
          <cell r="I917" t="str">
            <v>Profit and Loss</v>
          </cell>
          <cell r="J917" t="str">
            <v>XAF</v>
          </cell>
          <cell r="K917" t="str">
            <v>Achat de marchandises</v>
          </cell>
        </row>
        <row r="918">
          <cell r="A918" t="str">
            <v>A917</v>
          </cell>
          <cell r="B918" t="str">
            <v>"601100 - Dans la Région - OHADA"</v>
          </cell>
          <cell r="C918" t="str">
            <v>Dans la Région</v>
          </cell>
          <cell r="D918" t="str">
            <v>OHADA</v>
          </cell>
          <cell r="E918" t="str">
            <v>601000 - Achats de marchandises - OHADA</v>
          </cell>
          <cell r="F918">
            <v>601100</v>
          </cell>
          <cell r="G918" t="str">
            <v>0</v>
          </cell>
          <cell r="H918" t="str">
            <v>Expense</v>
          </cell>
          <cell r="I918" t="str">
            <v>Profit and Loss</v>
          </cell>
          <cell r="J918" t="str">
            <v>XAF</v>
          </cell>
          <cell r="K918" t="str">
            <v>Achat de marchandises</v>
          </cell>
        </row>
        <row r="919">
          <cell r="A919" t="str">
            <v>A918</v>
          </cell>
          <cell r="B919" t="str">
            <v>"601200 - Hors Région - OHADA"</v>
          </cell>
          <cell r="C919" t="str">
            <v>Hors Région</v>
          </cell>
          <cell r="D919" t="str">
            <v>OHADA</v>
          </cell>
          <cell r="E919" t="str">
            <v>601000 - Achats de marchandises - OHADA</v>
          </cell>
          <cell r="F919">
            <v>601200</v>
          </cell>
          <cell r="G919" t="str">
            <v>0</v>
          </cell>
          <cell r="H919" t="str">
            <v>Expense</v>
          </cell>
          <cell r="I919" t="str">
            <v>Profit and Loss</v>
          </cell>
          <cell r="J919" t="str">
            <v>XAF</v>
          </cell>
          <cell r="K919" t="str">
            <v>Achat de marchandises</v>
          </cell>
        </row>
        <row r="920">
          <cell r="A920" t="str">
            <v>A919</v>
          </cell>
          <cell r="B920" t="str">
            <v>"601300 - Aux entités du groupe dans la Région - OHADA"</v>
          </cell>
          <cell r="C920" t="str">
            <v>Aux entités du groupe dans la Région</v>
          </cell>
          <cell r="D920" t="str">
            <v>OHADA</v>
          </cell>
          <cell r="E920" t="str">
            <v>601000 - Achats de marchandises - OHADA</v>
          </cell>
          <cell r="F920">
            <v>601300</v>
          </cell>
          <cell r="G920" t="str">
            <v>0</v>
          </cell>
          <cell r="H920" t="str">
            <v>Expense</v>
          </cell>
          <cell r="I920" t="str">
            <v>Profit and Loss</v>
          </cell>
          <cell r="J920" t="str">
            <v>XAF</v>
          </cell>
          <cell r="K920" t="str">
            <v>Achat de marchandises</v>
          </cell>
        </row>
        <row r="921">
          <cell r="A921" t="str">
            <v>A920</v>
          </cell>
          <cell r="B921" t="str">
            <v>"601400 - Aux entités du groupe hors Région - OHADA"</v>
          </cell>
          <cell r="C921" t="str">
            <v>Aux entités du groupe hors Région</v>
          </cell>
          <cell r="D921" t="str">
            <v>OHADA</v>
          </cell>
          <cell r="E921" t="str">
            <v>601000 - Achats de marchandises - OHADA</v>
          </cell>
          <cell r="F921">
            <v>601400</v>
          </cell>
          <cell r="G921" t="str">
            <v>0</v>
          </cell>
          <cell r="H921" t="str">
            <v>Expense</v>
          </cell>
          <cell r="I921" t="str">
            <v>Profit and Loss</v>
          </cell>
          <cell r="J921" t="str">
            <v>XAF</v>
          </cell>
          <cell r="K921" t="str">
            <v>Achat de marchandises</v>
          </cell>
        </row>
        <row r="922">
          <cell r="A922" t="str">
            <v>A921</v>
          </cell>
          <cell r="B922" t="str">
            <v>"601500 - Frais sur achats - OHADA"</v>
          </cell>
          <cell r="C922" t="str">
            <v>Frais sur achats</v>
          </cell>
          <cell r="D922" t="str">
            <v>OHADA</v>
          </cell>
          <cell r="E922" t="str">
            <v>601000 - Achats de marchandises - OHADA</v>
          </cell>
          <cell r="F922">
            <v>601500</v>
          </cell>
          <cell r="G922" t="str">
            <v>0</v>
          </cell>
          <cell r="H922" t="str">
            <v>Expense</v>
          </cell>
          <cell r="I922" t="str">
            <v>Profit and Loss</v>
          </cell>
          <cell r="J922" t="str">
            <v>XAF</v>
          </cell>
          <cell r="K922" t="str">
            <v>Achat de marchandises</v>
          </cell>
        </row>
        <row r="923">
          <cell r="A923" t="str">
            <v>A922</v>
          </cell>
          <cell r="B923" t="str">
            <v>"601900 - Rabais, remises et ristournes obtenus (non ventilés) - OHADA"</v>
          </cell>
          <cell r="C923" t="str">
            <v>Rabais, remises et ristournes obtenus (non ventilés)</v>
          </cell>
          <cell r="D923" t="str">
            <v>OHADA</v>
          </cell>
          <cell r="E923" t="str">
            <v>601000 - Achats de marchandises - OHADA</v>
          </cell>
          <cell r="F923">
            <v>601900</v>
          </cell>
          <cell r="G923" t="str">
            <v>0</v>
          </cell>
          <cell r="H923" t="str">
            <v>Expense</v>
          </cell>
          <cell r="I923" t="str">
            <v>Profit and Loss</v>
          </cell>
          <cell r="J923" t="str">
            <v>XAF</v>
          </cell>
          <cell r="K923" t="str">
            <v>Achat de marchandises</v>
          </cell>
        </row>
        <row r="924">
          <cell r="A924" t="str">
            <v>A923</v>
          </cell>
          <cell r="B924" t="str">
            <v>"602000 - Achats de matières premières et fournitures liées - OHADA"</v>
          </cell>
          <cell r="C924" t="str">
            <v>Achats de matières premières et fournitures liées</v>
          </cell>
          <cell r="D924" t="str">
            <v>OHADA</v>
          </cell>
          <cell r="E924" t="str">
            <v>600000 - Achats et variations de stocks - OHADA</v>
          </cell>
          <cell r="F924">
            <v>602000</v>
          </cell>
          <cell r="G924" t="str">
            <v>1</v>
          </cell>
          <cell r="H924" t="str">
            <v>Expense</v>
          </cell>
          <cell r="I924" t="str">
            <v>Profit and Loss</v>
          </cell>
          <cell r="J924" t="str">
            <v>XAF</v>
          </cell>
          <cell r="K924" t="str">
            <v>Achats de matières premières et fournitures liées</v>
          </cell>
        </row>
        <row r="925">
          <cell r="A925" t="str">
            <v>A924</v>
          </cell>
          <cell r="B925" t="str">
            <v>"602100 - Dans la Région - OHADA"</v>
          </cell>
          <cell r="C925" t="str">
            <v>Dans la Région</v>
          </cell>
          <cell r="D925" t="str">
            <v>OHADA</v>
          </cell>
          <cell r="E925" t="str">
            <v>602000 - Achats de matières premières et fournitures liées - OHADA</v>
          </cell>
          <cell r="F925">
            <v>602100</v>
          </cell>
          <cell r="G925" t="str">
            <v>0</v>
          </cell>
          <cell r="H925" t="str">
            <v>Expense</v>
          </cell>
          <cell r="I925" t="str">
            <v>Profit and Loss</v>
          </cell>
          <cell r="J925" t="str">
            <v>XAF</v>
          </cell>
          <cell r="K925" t="str">
            <v>Achats de matières premières et fournitures liées</v>
          </cell>
        </row>
        <row r="926">
          <cell r="A926" t="str">
            <v>A925</v>
          </cell>
          <cell r="B926" t="str">
            <v>"602200 - Hors Région - OHADA"</v>
          </cell>
          <cell r="C926" t="str">
            <v>Hors Région</v>
          </cell>
          <cell r="D926" t="str">
            <v>OHADA</v>
          </cell>
          <cell r="E926" t="str">
            <v>602000 - Achats de matières premières et fournitures liées - OHADA</v>
          </cell>
          <cell r="F926">
            <v>602200</v>
          </cell>
          <cell r="G926" t="str">
            <v>0</v>
          </cell>
          <cell r="H926" t="str">
            <v>Expense</v>
          </cell>
          <cell r="I926" t="str">
            <v>Profit and Loss</v>
          </cell>
          <cell r="J926" t="str">
            <v>XAF</v>
          </cell>
          <cell r="K926" t="str">
            <v>Achats de matières premières et fournitures liées</v>
          </cell>
        </row>
        <row r="927">
          <cell r="A927" t="str">
            <v>A926</v>
          </cell>
          <cell r="B927" t="str">
            <v>"602300 - Aux entités du groupe dans la Région - OHADA"</v>
          </cell>
          <cell r="C927" t="str">
            <v>Aux entités du groupe dans la Région</v>
          </cell>
          <cell r="D927" t="str">
            <v>OHADA</v>
          </cell>
          <cell r="E927" t="str">
            <v>602000 - Achats de matières premières et fournitures liées - OHADA</v>
          </cell>
          <cell r="F927">
            <v>602300</v>
          </cell>
          <cell r="G927" t="str">
            <v>0</v>
          </cell>
          <cell r="H927" t="str">
            <v>Expense</v>
          </cell>
          <cell r="I927" t="str">
            <v>Profit and Loss</v>
          </cell>
          <cell r="J927" t="str">
            <v>XAF</v>
          </cell>
          <cell r="K927" t="str">
            <v>Achats de matières premières et fournitures liées</v>
          </cell>
        </row>
        <row r="928">
          <cell r="A928" t="str">
            <v>A927</v>
          </cell>
          <cell r="B928" t="str">
            <v>"602400 - Aux entités du groupe hors Région - OHADA"</v>
          </cell>
          <cell r="C928" t="str">
            <v>Aux entités du groupe hors Région</v>
          </cell>
          <cell r="D928" t="str">
            <v>OHADA</v>
          </cell>
          <cell r="E928" t="str">
            <v>602000 - Achats de matières premières et fournitures liées - OHADA</v>
          </cell>
          <cell r="F928">
            <v>602400</v>
          </cell>
          <cell r="G928" t="str">
            <v>0</v>
          </cell>
          <cell r="H928" t="str">
            <v>Expense</v>
          </cell>
          <cell r="I928" t="str">
            <v>Profit and Loss</v>
          </cell>
          <cell r="J928" t="str">
            <v>XAF</v>
          </cell>
          <cell r="K928" t="str">
            <v>Achats de matières premières et fournitures liées</v>
          </cell>
        </row>
        <row r="929">
          <cell r="A929" t="str">
            <v>A928</v>
          </cell>
          <cell r="B929" t="str">
            <v>"602500 - Frais sur achats - OHADA"</v>
          </cell>
          <cell r="C929" t="str">
            <v>Frais sur achats</v>
          </cell>
          <cell r="D929" t="str">
            <v>OHADA</v>
          </cell>
          <cell r="E929" t="str">
            <v>602000 - Achats de matières premières et fournitures liées - OHADA</v>
          </cell>
          <cell r="F929">
            <v>602500</v>
          </cell>
          <cell r="G929" t="str">
            <v>0</v>
          </cell>
          <cell r="H929" t="str">
            <v>Expense</v>
          </cell>
          <cell r="I929" t="str">
            <v>Profit and Loss</v>
          </cell>
          <cell r="J929" t="str">
            <v>XAF</v>
          </cell>
          <cell r="K929" t="str">
            <v>Achats de matières premières et fournitures liées</v>
          </cell>
        </row>
        <row r="930">
          <cell r="A930" t="str">
            <v>A929</v>
          </cell>
          <cell r="B930" t="str">
            <v>"602900 - Rabais, remises et ristournes obtenus (non ventilés) - OHADA"</v>
          </cell>
          <cell r="C930" t="str">
            <v>Rabais, remises et ristournes obtenus (non ventilés)</v>
          </cell>
          <cell r="D930" t="str">
            <v>OHADA</v>
          </cell>
          <cell r="E930" t="str">
            <v>602000 - Achats de matières premières et fournitures liées - OHADA</v>
          </cell>
          <cell r="F930">
            <v>602900</v>
          </cell>
          <cell r="G930" t="str">
            <v>0</v>
          </cell>
          <cell r="H930" t="str">
            <v>Expense</v>
          </cell>
          <cell r="I930" t="str">
            <v>Profit and Loss</v>
          </cell>
          <cell r="J930" t="str">
            <v>XAF</v>
          </cell>
          <cell r="K930" t="str">
            <v>Achats de matières premières et fournitures liées</v>
          </cell>
        </row>
        <row r="931">
          <cell r="A931" t="str">
            <v>A930</v>
          </cell>
          <cell r="B931" t="str">
            <v>"603000 - Variations des stocks de biens achetés - OHADA"</v>
          </cell>
          <cell r="C931" t="str">
            <v>Variations des stocks de biens achetés</v>
          </cell>
          <cell r="D931" t="str">
            <v>OHADA</v>
          </cell>
          <cell r="E931" t="str">
            <v>600000 - Achats et variations de stocks - OHADA</v>
          </cell>
          <cell r="F931">
            <v>603000</v>
          </cell>
          <cell r="G931" t="str">
            <v>1</v>
          </cell>
          <cell r="H931" t="str">
            <v>Expense</v>
          </cell>
          <cell r="I931" t="str">
            <v>Profit and Loss</v>
          </cell>
          <cell r="J931" t="str">
            <v>XAF</v>
          </cell>
          <cell r="K931" t="str">
            <v>Variations des stocks de biens achetés</v>
          </cell>
        </row>
        <row r="932">
          <cell r="A932" t="str">
            <v>A931</v>
          </cell>
          <cell r="B932" t="str">
            <v>"603100 - Variations des stocks de marchandises - OHADA"</v>
          </cell>
          <cell r="C932" t="str">
            <v>Variations des stocks de marchandises</v>
          </cell>
          <cell r="D932" t="str">
            <v>OHADA</v>
          </cell>
          <cell r="E932" t="str">
            <v>603000 - Variations des stocks de biens achetés - OHADA</v>
          </cell>
          <cell r="F932">
            <v>603100</v>
          </cell>
          <cell r="G932" t="str">
            <v>0</v>
          </cell>
          <cell r="H932" t="str">
            <v>Expense</v>
          </cell>
          <cell r="I932" t="str">
            <v>Profit and Loss</v>
          </cell>
          <cell r="J932" t="str">
            <v>XAF</v>
          </cell>
          <cell r="K932" t="str">
            <v>Variation  de stocks de marchandises</v>
          </cell>
        </row>
        <row r="933">
          <cell r="A933" t="str">
            <v>A932</v>
          </cell>
          <cell r="B933" t="str">
            <v>"603200 - Variations des stocks de matières premières et fournitures liées - OHADA"</v>
          </cell>
          <cell r="C933" t="str">
            <v>Variations des stocks de matières premières et fournitures liées</v>
          </cell>
          <cell r="D933" t="str">
            <v>OHADA</v>
          </cell>
          <cell r="E933" t="str">
            <v>603000 - Variations des stocks de biens achetés - OHADA</v>
          </cell>
          <cell r="F933">
            <v>603200</v>
          </cell>
          <cell r="G933" t="str">
            <v>0</v>
          </cell>
          <cell r="H933" t="str">
            <v>Expense</v>
          </cell>
          <cell r="I933" t="str">
            <v>Profit and Loss</v>
          </cell>
          <cell r="J933" t="str">
            <v>XAF</v>
          </cell>
          <cell r="K933" t="str">
            <v>Variations de stocks de matières premières et fournitures liées</v>
          </cell>
        </row>
        <row r="934">
          <cell r="A934" t="str">
            <v>A933</v>
          </cell>
          <cell r="B934" t="str">
            <v>"603300 - Variations des stocks d’autres approvisionnements - OHADA"</v>
          </cell>
          <cell r="C934" t="str">
            <v>Variations des stocks d’autres approvisionnements</v>
          </cell>
          <cell r="D934" t="str">
            <v>OHADA</v>
          </cell>
          <cell r="E934" t="str">
            <v>603000 - Variations des stocks de biens achetés - OHADA</v>
          </cell>
          <cell r="F934">
            <v>603300</v>
          </cell>
          <cell r="G934" t="str">
            <v>0</v>
          </cell>
          <cell r="H934" t="str">
            <v>Expense</v>
          </cell>
          <cell r="I934" t="str">
            <v>Profit and Loss</v>
          </cell>
          <cell r="J934" t="str">
            <v>XAF</v>
          </cell>
          <cell r="K934" t="str">
            <v>Variations des autres approvisionnements</v>
          </cell>
        </row>
        <row r="935">
          <cell r="A935" t="str">
            <v>A934</v>
          </cell>
          <cell r="B935" t="str">
            <v>"604000 - Achats stockés de matières et fournitures consommables - OHADA"</v>
          </cell>
          <cell r="C935" t="str">
            <v>Achats stockés de matières et fournitures consommables</v>
          </cell>
          <cell r="D935" t="str">
            <v>OHADA</v>
          </cell>
          <cell r="E935" t="str">
            <v>600000 - Achats et variations de stocks - OHADA</v>
          </cell>
          <cell r="F935">
            <v>604000</v>
          </cell>
          <cell r="G935" t="str">
            <v>1</v>
          </cell>
          <cell r="H935" t="str">
            <v>Expense</v>
          </cell>
          <cell r="I935" t="str">
            <v>Profit and Loss</v>
          </cell>
          <cell r="J935" t="str">
            <v>XAF</v>
          </cell>
          <cell r="K935" t="str">
            <v>Autres achats</v>
          </cell>
        </row>
        <row r="936">
          <cell r="A936" t="str">
            <v>A935</v>
          </cell>
          <cell r="B936" t="str">
            <v>"604100 - Matières consommables - OHADA"</v>
          </cell>
          <cell r="C936" t="str">
            <v>Matières consommables</v>
          </cell>
          <cell r="D936" t="str">
            <v>OHADA</v>
          </cell>
          <cell r="E936" t="str">
            <v>604000 - Achats stockés de matières et fournitures consommables - OHADA</v>
          </cell>
          <cell r="F936">
            <v>604100</v>
          </cell>
          <cell r="G936" t="str">
            <v>0</v>
          </cell>
          <cell r="H936" t="str">
            <v>Expense</v>
          </cell>
          <cell r="I936" t="str">
            <v>Profit and Loss</v>
          </cell>
          <cell r="J936" t="str">
            <v>XAF</v>
          </cell>
          <cell r="K936" t="str">
            <v>Autres achats</v>
          </cell>
        </row>
        <row r="937">
          <cell r="A937" t="str">
            <v>A936</v>
          </cell>
          <cell r="B937" t="str">
            <v>"604200 - Matières combustibles - OHADA"</v>
          </cell>
          <cell r="C937" t="str">
            <v>Matières combustibles</v>
          </cell>
          <cell r="D937" t="str">
            <v>OHADA</v>
          </cell>
          <cell r="E937" t="str">
            <v>604000 - Achats stockés de matières et fournitures consommables - OHADA</v>
          </cell>
          <cell r="F937">
            <v>604200</v>
          </cell>
          <cell r="G937" t="str">
            <v>0</v>
          </cell>
          <cell r="H937" t="str">
            <v>Expense</v>
          </cell>
          <cell r="I937" t="str">
            <v>Profit and Loss</v>
          </cell>
          <cell r="J937" t="str">
            <v>XAF</v>
          </cell>
          <cell r="K937" t="str">
            <v>Autres achats</v>
          </cell>
        </row>
        <row r="938">
          <cell r="A938" t="str">
            <v>A937</v>
          </cell>
          <cell r="B938" t="str">
            <v>"604300 - Produits d’entretien - OHADA"</v>
          </cell>
          <cell r="C938" t="str">
            <v>Produits d’entretien</v>
          </cell>
          <cell r="D938" t="str">
            <v>OHADA</v>
          </cell>
          <cell r="E938" t="str">
            <v>604000 - Achats stockés de matières et fournitures consommables - OHADA</v>
          </cell>
          <cell r="F938">
            <v>604300</v>
          </cell>
          <cell r="G938" t="str">
            <v>0</v>
          </cell>
          <cell r="H938" t="str">
            <v>Expense</v>
          </cell>
          <cell r="I938" t="str">
            <v>Profit and Loss</v>
          </cell>
          <cell r="J938" t="str">
            <v>XAF</v>
          </cell>
          <cell r="K938" t="str">
            <v>Autres achats</v>
          </cell>
        </row>
        <row r="939">
          <cell r="A939" t="str">
            <v>A938</v>
          </cell>
          <cell r="B939" t="str">
            <v>"604400 - Fournitures d’atelier et d’usine - OHADA"</v>
          </cell>
          <cell r="C939" t="str">
            <v>Fournitures d’atelier et d’usine</v>
          </cell>
          <cell r="D939" t="str">
            <v>OHADA</v>
          </cell>
          <cell r="E939" t="str">
            <v>604000 - Achats stockés de matières et fournitures consommables - OHADA</v>
          </cell>
          <cell r="F939">
            <v>604400</v>
          </cell>
          <cell r="G939" t="str">
            <v>0</v>
          </cell>
          <cell r="H939" t="str">
            <v>Expense</v>
          </cell>
          <cell r="I939" t="str">
            <v>Profit and Loss</v>
          </cell>
          <cell r="J939" t="str">
            <v>XAF</v>
          </cell>
          <cell r="K939" t="str">
            <v>Autres achats</v>
          </cell>
        </row>
        <row r="940">
          <cell r="A940" t="str">
            <v>A939</v>
          </cell>
          <cell r="B940" t="str">
            <v>"604500 - Frais sur achat - OHADA"</v>
          </cell>
          <cell r="C940" t="str">
            <v>Frais sur achat</v>
          </cell>
          <cell r="D940" t="str">
            <v>OHADA</v>
          </cell>
          <cell r="E940" t="str">
            <v>604000 - Achats stockés de matières et fournitures consommables - OHADA</v>
          </cell>
          <cell r="F940">
            <v>604500</v>
          </cell>
          <cell r="G940" t="str">
            <v>0</v>
          </cell>
          <cell r="H940" t="str">
            <v>Expense</v>
          </cell>
          <cell r="I940" t="str">
            <v>Profit and Loss</v>
          </cell>
          <cell r="J940" t="str">
            <v>XAF</v>
          </cell>
          <cell r="K940" t="str">
            <v>Autres achats</v>
          </cell>
        </row>
        <row r="941">
          <cell r="A941" t="str">
            <v>A940</v>
          </cell>
          <cell r="B941" t="str">
            <v>"604600 - Fournitures de magasin - OHADA"</v>
          </cell>
          <cell r="C941" t="str">
            <v>Fournitures de magasin</v>
          </cell>
          <cell r="D941" t="str">
            <v>OHADA</v>
          </cell>
          <cell r="E941" t="str">
            <v>604000 - Achats stockés de matières et fournitures consommables - OHADA</v>
          </cell>
          <cell r="F941">
            <v>604600</v>
          </cell>
          <cell r="G941" t="str">
            <v>0</v>
          </cell>
          <cell r="H941" t="str">
            <v>Expense</v>
          </cell>
          <cell r="I941" t="str">
            <v>Profit and Loss</v>
          </cell>
          <cell r="J941" t="str">
            <v>XAF</v>
          </cell>
          <cell r="K941" t="str">
            <v>Autres achats</v>
          </cell>
        </row>
        <row r="942">
          <cell r="A942" t="str">
            <v>A941</v>
          </cell>
          <cell r="B942" t="str">
            <v>"604700 - Fournitures de bureau - OHADA"</v>
          </cell>
          <cell r="C942" t="str">
            <v>Fournitures de bureau</v>
          </cell>
          <cell r="D942" t="str">
            <v>OHADA</v>
          </cell>
          <cell r="E942" t="str">
            <v>604000 - Achats stockés de matières et fournitures consommables - OHADA</v>
          </cell>
          <cell r="F942">
            <v>604700</v>
          </cell>
          <cell r="G942" t="str">
            <v>0</v>
          </cell>
          <cell r="H942" t="str">
            <v>Expense</v>
          </cell>
          <cell r="I942" t="str">
            <v>Profit and Loss</v>
          </cell>
          <cell r="J942" t="str">
            <v>XAF</v>
          </cell>
          <cell r="K942" t="str">
            <v>Autres achats</v>
          </cell>
        </row>
        <row r="943">
          <cell r="A943" t="str">
            <v>A942</v>
          </cell>
          <cell r="B943" t="str">
            <v>"604900 - Rabais, remises et ristournes obtenus (non ventilés) - OHADA"</v>
          </cell>
          <cell r="C943" t="str">
            <v>Rabais, remises et ristournes obtenus (non ventilés)</v>
          </cell>
          <cell r="D943" t="str">
            <v>OHADA</v>
          </cell>
          <cell r="E943" t="str">
            <v>604000 - Achats stockés de matières et fournitures consommables - OHADA</v>
          </cell>
          <cell r="F943">
            <v>604900</v>
          </cell>
          <cell r="G943" t="str">
            <v>0</v>
          </cell>
          <cell r="H943" t="str">
            <v>Expense</v>
          </cell>
          <cell r="I943" t="str">
            <v>Profit and Loss</v>
          </cell>
          <cell r="J943" t="str">
            <v>XAF</v>
          </cell>
          <cell r="K943" t="str">
            <v>Autres achats</v>
          </cell>
        </row>
        <row r="944">
          <cell r="A944" t="str">
            <v>A943</v>
          </cell>
          <cell r="B944" t="str">
            <v>"605000 - Autres achats - OHADA"</v>
          </cell>
          <cell r="C944" t="str">
            <v>Autres achats</v>
          </cell>
          <cell r="D944" t="str">
            <v>OHADA</v>
          </cell>
          <cell r="E944" t="str">
            <v>600000 - Achats et variations de stocks - OHADA</v>
          </cell>
          <cell r="F944">
            <v>605000</v>
          </cell>
          <cell r="G944" t="str">
            <v>1</v>
          </cell>
          <cell r="H944" t="str">
            <v>Expense</v>
          </cell>
          <cell r="I944" t="str">
            <v>Profit and Loss</v>
          </cell>
          <cell r="J944" t="str">
            <v>XAF</v>
          </cell>
          <cell r="K944" t="str">
            <v>Autres achats</v>
          </cell>
        </row>
        <row r="945">
          <cell r="A945" t="str">
            <v>A944</v>
          </cell>
          <cell r="B945" t="str">
            <v>"605100 - Fournitures non stockables Eau - OHADA"</v>
          </cell>
          <cell r="C945" t="str">
            <v>Fournitures non stockables Eau</v>
          </cell>
          <cell r="D945" t="str">
            <v>OHADA</v>
          </cell>
          <cell r="E945" t="str">
            <v>605000 - Autres achats - OHADA</v>
          </cell>
          <cell r="F945">
            <v>605100</v>
          </cell>
          <cell r="G945" t="str">
            <v>0</v>
          </cell>
          <cell r="H945" t="str">
            <v>Expense</v>
          </cell>
          <cell r="I945" t="str">
            <v>Profit and Loss</v>
          </cell>
          <cell r="J945" t="str">
            <v>XAF</v>
          </cell>
          <cell r="K945" t="str">
            <v>Autres achats</v>
          </cell>
        </row>
        <row r="946">
          <cell r="A946" t="str">
            <v>A945</v>
          </cell>
          <cell r="B946" t="str">
            <v>"605200 - Fournitures non stockables Électricité - OHADA"</v>
          </cell>
          <cell r="C946" t="str">
            <v>Fournitures non stockables Électricité</v>
          </cell>
          <cell r="D946" t="str">
            <v>OHADA</v>
          </cell>
          <cell r="E946" t="str">
            <v>605000 - Autres achats - OHADA</v>
          </cell>
          <cell r="F946">
            <v>605200</v>
          </cell>
          <cell r="G946" t="str">
            <v>0</v>
          </cell>
          <cell r="H946" t="str">
            <v>Expense</v>
          </cell>
          <cell r="I946" t="str">
            <v>Profit and Loss</v>
          </cell>
          <cell r="J946" t="str">
            <v>XAF</v>
          </cell>
          <cell r="K946" t="str">
            <v>Autres achats</v>
          </cell>
        </row>
        <row r="947">
          <cell r="A947" t="str">
            <v>A946</v>
          </cell>
          <cell r="B947" t="str">
            <v>"605300 - Fournitures non stockables Autres énergies - OHADA"</v>
          </cell>
          <cell r="C947" t="str">
            <v>Fournitures non stockables Autres énergies</v>
          </cell>
          <cell r="D947" t="str">
            <v>OHADA</v>
          </cell>
          <cell r="E947" t="str">
            <v>605000 - Autres achats - OHADA</v>
          </cell>
          <cell r="F947">
            <v>605300</v>
          </cell>
          <cell r="G947" t="str">
            <v>0</v>
          </cell>
          <cell r="H947" t="str">
            <v>Expense</v>
          </cell>
          <cell r="I947" t="str">
            <v>Profit and Loss</v>
          </cell>
          <cell r="J947" t="str">
            <v>XAF</v>
          </cell>
          <cell r="K947" t="str">
            <v>Autres achats</v>
          </cell>
        </row>
        <row r="948">
          <cell r="A948" t="str">
            <v>A947</v>
          </cell>
          <cell r="B948" t="str">
            <v>"605400 - Fournitures d’entretien non stockables - OHADA"</v>
          </cell>
          <cell r="C948" t="str">
            <v>Fournitures d’entretien non stockables</v>
          </cell>
          <cell r="D948" t="str">
            <v>OHADA</v>
          </cell>
          <cell r="E948" t="str">
            <v>605000 - Autres achats - OHADA</v>
          </cell>
          <cell r="F948">
            <v>605400</v>
          </cell>
          <cell r="G948" t="str">
            <v>0</v>
          </cell>
          <cell r="H948" t="str">
            <v>Expense</v>
          </cell>
          <cell r="I948" t="str">
            <v>Profit and Loss</v>
          </cell>
          <cell r="J948" t="str">
            <v>XAF</v>
          </cell>
          <cell r="K948" t="str">
            <v>Autres achats</v>
          </cell>
        </row>
        <row r="949">
          <cell r="A949" t="str">
            <v>A948</v>
          </cell>
          <cell r="B949" t="str">
            <v>"605500 - Fournitures de bureau non stockables - OHADA"</v>
          </cell>
          <cell r="C949" t="str">
            <v>Fournitures de bureau non stockables</v>
          </cell>
          <cell r="D949" t="str">
            <v>OHADA</v>
          </cell>
          <cell r="E949" t="str">
            <v>605000 - Autres achats - OHADA</v>
          </cell>
          <cell r="F949">
            <v>605500</v>
          </cell>
          <cell r="G949" t="str">
            <v>0</v>
          </cell>
          <cell r="H949" t="str">
            <v>Expense</v>
          </cell>
          <cell r="I949" t="str">
            <v>Profit and Loss</v>
          </cell>
          <cell r="J949" t="str">
            <v>XAF</v>
          </cell>
          <cell r="K949" t="str">
            <v>Autres achats</v>
          </cell>
        </row>
        <row r="950">
          <cell r="A950" t="str">
            <v>A949</v>
          </cell>
          <cell r="B950" t="str">
            <v>"605600 - Achats de petit matériel et outillage - OHADA"</v>
          </cell>
          <cell r="C950" t="str">
            <v>Achats de petit matériel et outillage</v>
          </cell>
          <cell r="D950" t="str">
            <v>OHADA</v>
          </cell>
          <cell r="E950" t="str">
            <v>605000 - Autres achats - OHADA</v>
          </cell>
          <cell r="F950">
            <v>605600</v>
          </cell>
          <cell r="G950" t="str">
            <v>0</v>
          </cell>
          <cell r="H950" t="str">
            <v>Expense</v>
          </cell>
          <cell r="I950" t="str">
            <v>Profit and Loss</v>
          </cell>
          <cell r="J950" t="str">
            <v>XAF</v>
          </cell>
          <cell r="K950" t="str">
            <v>Autres achats</v>
          </cell>
        </row>
        <row r="951">
          <cell r="A951" t="str">
            <v>A950</v>
          </cell>
          <cell r="B951" t="str">
            <v>"605700 - Achats d’études et prestations de services - OHADA"</v>
          </cell>
          <cell r="C951" t="str">
            <v>Achats d’études et prestations de services</v>
          </cell>
          <cell r="D951" t="str">
            <v>OHADA</v>
          </cell>
          <cell r="E951" t="str">
            <v>605000 - Autres achats - OHADA</v>
          </cell>
          <cell r="F951">
            <v>605700</v>
          </cell>
          <cell r="G951" t="str">
            <v>0</v>
          </cell>
          <cell r="H951" t="str">
            <v>Expense</v>
          </cell>
          <cell r="I951" t="str">
            <v>Profit and Loss</v>
          </cell>
          <cell r="J951" t="str">
            <v>XAF</v>
          </cell>
          <cell r="K951" t="str">
            <v>Autres achats</v>
          </cell>
        </row>
        <row r="952">
          <cell r="A952" t="str">
            <v>A951</v>
          </cell>
          <cell r="B952" t="str">
            <v>"605800 - Achats de travaux, matériels et équipements - OHADA"</v>
          </cell>
          <cell r="C952" t="str">
            <v>Achats de travaux, matériels et équipements</v>
          </cell>
          <cell r="D952" t="str">
            <v>OHADA</v>
          </cell>
          <cell r="E952" t="str">
            <v>605000 - Autres achats - OHADA</v>
          </cell>
          <cell r="F952">
            <v>605800</v>
          </cell>
          <cell r="G952" t="str">
            <v>0</v>
          </cell>
          <cell r="H952" t="str">
            <v>Expense</v>
          </cell>
          <cell r="I952" t="str">
            <v>Profit and Loss</v>
          </cell>
          <cell r="J952" t="str">
            <v>XAF</v>
          </cell>
          <cell r="K952" t="str">
            <v>Autres achats</v>
          </cell>
        </row>
        <row r="953">
          <cell r="A953" t="str">
            <v>A952</v>
          </cell>
          <cell r="B953" t="str">
            <v>"605900 - Rabais, remises et ristournes obtenus (non ventilés) - OHADA"</v>
          </cell>
          <cell r="C953" t="str">
            <v>Rabais, remises et ristournes obtenus (non ventilés)</v>
          </cell>
          <cell r="D953" t="str">
            <v>OHADA</v>
          </cell>
          <cell r="E953" t="str">
            <v>605000 - Autres achats - OHADA</v>
          </cell>
          <cell r="F953">
            <v>605900</v>
          </cell>
          <cell r="G953" t="str">
            <v>0</v>
          </cell>
          <cell r="H953" t="str">
            <v>Expense</v>
          </cell>
          <cell r="I953" t="str">
            <v>Profit and Loss</v>
          </cell>
          <cell r="J953" t="str">
            <v>XAF</v>
          </cell>
          <cell r="K953" t="str">
            <v>Autres achats</v>
          </cell>
        </row>
        <row r="954">
          <cell r="A954" t="str">
            <v>A953</v>
          </cell>
          <cell r="B954" t="str">
            <v>"608000 - Achats d’emballages - OHADA"</v>
          </cell>
          <cell r="C954" t="str">
            <v>Achats d’emballages</v>
          </cell>
          <cell r="D954" t="str">
            <v>OHADA</v>
          </cell>
          <cell r="E954" t="str">
            <v>600000 - Achats et variations de stocks - OHADA</v>
          </cell>
          <cell r="F954">
            <v>608000</v>
          </cell>
          <cell r="G954" t="str">
            <v>1</v>
          </cell>
          <cell r="H954" t="str">
            <v>Expense</v>
          </cell>
          <cell r="I954" t="str">
            <v>Profit and Loss</v>
          </cell>
          <cell r="J954" t="str">
            <v>XAF</v>
          </cell>
          <cell r="K954" t="str">
            <v>Autres achats</v>
          </cell>
        </row>
        <row r="955">
          <cell r="A955" t="str">
            <v>A954</v>
          </cell>
          <cell r="B955" t="str">
            <v>"608100 - Emballages perdus - OHADA"</v>
          </cell>
          <cell r="C955" t="str">
            <v>Emballages perdus</v>
          </cell>
          <cell r="D955" t="str">
            <v>OHADA</v>
          </cell>
          <cell r="E955" t="str">
            <v>608000 - Achats d’emballages - OHADA</v>
          </cell>
          <cell r="F955">
            <v>608100</v>
          </cell>
          <cell r="G955" t="str">
            <v>0</v>
          </cell>
          <cell r="H955" t="str">
            <v>Expense</v>
          </cell>
          <cell r="I955" t="str">
            <v>Profit and Loss</v>
          </cell>
          <cell r="J955" t="str">
            <v>XAF</v>
          </cell>
          <cell r="K955" t="str">
            <v>Autres achats</v>
          </cell>
        </row>
        <row r="956">
          <cell r="A956" t="str">
            <v>A955</v>
          </cell>
          <cell r="B956" t="str">
            <v>"608200 - Emballages récupérables non identifiables - OHADA"</v>
          </cell>
          <cell r="C956" t="str">
            <v>Emballages récupérables non identifiables</v>
          </cell>
          <cell r="D956" t="str">
            <v>OHADA</v>
          </cell>
          <cell r="E956" t="str">
            <v>608000 - Achats d’emballages - OHADA</v>
          </cell>
          <cell r="F956">
            <v>608200</v>
          </cell>
          <cell r="G956" t="str">
            <v>0</v>
          </cell>
          <cell r="H956" t="str">
            <v>Expense</v>
          </cell>
          <cell r="I956" t="str">
            <v>Profit and Loss</v>
          </cell>
          <cell r="J956" t="str">
            <v>XAF</v>
          </cell>
          <cell r="K956" t="str">
            <v>Autres achats</v>
          </cell>
        </row>
        <row r="957">
          <cell r="A957" t="str">
            <v>A956</v>
          </cell>
          <cell r="B957" t="str">
            <v>"608300 - Emballages à usage mixte - OHADA"</v>
          </cell>
          <cell r="C957" t="str">
            <v>Emballages à usage mixte</v>
          </cell>
          <cell r="D957" t="str">
            <v>OHADA</v>
          </cell>
          <cell r="E957" t="str">
            <v>608000 - Achats d’emballages - OHADA</v>
          </cell>
          <cell r="F957">
            <v>608300</v>
          </cell>
          <cell r="G957" t="str">
            <v>0</v>
          </cell>
          <cell r="H957" t="str">
            <v>Expense</v>
          </cell>
          <cell r="I957" t="str">
            <v>Profit and Loss</v>
          </cell>
          <cell r="J957" t="str">
            <v>XAF</v>
          </cell>
          <cell r="K957" t="str">
            <v>Autres achats</v>
          </cell>
        </row>
        <row r="958">
          <cell r="A958" t="str">
            <v>A957</v>
          </cell>
          <cell r="B958" t="str">
            <v>"608500 - Frais sur achats - OHADA"</v>
          </cell>
          <cell r="C958" t="str">
            <v>Frais sur achats</v>
          </cell>
          <cell r="D958" t="str">
            <v>OHADA</v>
          </cell>
          <cell r="E958" t="str">
            <v>608000 - Achats d’emballages - OHADA</v>
          </cell>
          <cell r="F958">
            <v>608500</v>
          </cell>
          <cell r="G958" t="str">
            <v>0</v>
          </cell>
          <cell r="H958" t="str">
            <v>Expense</v>
          </cell>
          <cell r="I958" t="str">
            <v>Profit and Loss</v>
          </cell>
          <cell r="J958" t="str">
            <v>XAF</v>
          </cell>
          <cell r="K958" t="str">
            <v>Autres achats</v>
          </cell>
        </row>
        <row r="959">
          <cell r="A959" t="str">
            <v>A958</v>
          </cell>
          <cell r="B959" t="str">
            <v>"608900 - Rabais, remises et ristournes obtenus (non ventilés) - OHADA"</v>
          </cell>
          <cell r="C959" t="str">
            <v>Rabais, remises et ristournes obtenus (non ventilés)</v>
          </cell>
          <cell r="D959" t="str">
            <v>OHADA</v>
          </cell>
          <cell r="E959" t="str">
            <v>608000 - Achats d’emballages - OHADA</v>
          </cell>
          <cell r="F959">
            <v>608900</v>
          </cell>
          <cell r="G959" t="str">
            <v>0</v>
          </cell>
          <cell r="H959" t="str">
            <v>Expense</v>
          </cell>
          <cell r="I959" t="str">
            <v>Profit and Loss</v>
          </cell>
          <cell r="J959" t="str">
            <v>XAF</v>
          </cell>
          <cell r="K959" t="str">
            <v>Autres achats</v>
          </cell>
        </row>
        <row r="960">
          <cell r="A960" t="str">
            <v>A959</v>
          </cell>
          <cell r="B960" t="str">
            <v>"610000 - Transports - OHADA"</v>
          </cell>
          <cell r="C960" t="str">
            <v>Transports</v>
          </cell>
          <cell r="D960" t="str">
            <v>OHADA</v>
          </cell>
          <cell r="E960" t="str">
            <v>6 - Comptes de charges des activités ordinaires - OHADA</v>
          </cell>
          <cell r="F960">
            <v>610000</v>
          </cell>
          <cell r="G960" t="str">
            <v>1</v>
          </cell>
          <cell r="H960" t="str">
            <v>Expense</v>
          </cell>
          <cell r="I960" t="str">
            <v>Profit and Loss</v>
          </cell>
          <cell r="J960" t="str">
            <v>XAF</v>
          </cell>
          <cell r="K960" t="str">
            <v>Transport</v>
          </cell>
        </row>
        <row r="961">
          <cell r="A961" t="str">
            <v>A960</v>
          </cell>
          <cell r="B961" t="str">
            <v>"612000 - Transports sur ventes - OHADA"</v>
          </cell>
          <cell r="C961" t="str">
            <v>Transports sur ventes</v>
          </cell>
          <cell r="D961" t="str">
            <v>OHADA</v>
          </cell>
          <cell r="E961" t="str">
            <v>610000 - Transports - OHADA</v>
          </cell>
          <cell r="F961">
            <v>612000</v>
          </cell>
          <cell r="G961" t="str">
            <v>0</v>
          </cell>
          <cell r="H961" t="str">
            <v>Expense</v>
          </cell>
          <cell r="I961" t="str">
            <v>Profit and Loss</v>
          </cell>
          <cell r="J961" t="str">
            <v>XAF</v>
          </cell>
          <cell r="K961" t="str">
            <v>Transport</v>
          </cell>
        </row>
        <row r="962">
          <cell r="A962" t="str">
            <v>A961</v>
          </cell>
          <cell r="B962" t="str">
            <v>"613000 - Transports pour le compte de tiers - OHADA"</v>
          </cell>
          <cell r="C962" t="str">
            <v>Transports pour le compte de tiers</v>
          </cell>
          <cell r="D962" t="str">
            <v>OHADA</v>
          </cell>
          <cell r="E962" t="str">
            <v>610000 - Transports - OHADA</v>
          </cell>
          <cell r="F962">
            <v>613000</v>
          </cell>
          <cell r="G962" t="str">
            <v>0</v>
          </cell>
          <cell r="H962" t="str">
            <v>Expense</v>
          </cell>
          <cell r="I962" t="str">
            <v>Profit and Loss</v>
          </cell>
          <cell r="J962" t="str">
            <v>XAF</v>
          </cell>
          <cell r="K962" t="str">
            <v>Transport</v>
          </cell>
        </row>
        <row r="963">
          <cell r="A963" t="str">
            <v>A962</v>
          </cell>
          <cell r="B963" t="str">
            <v>"614000 - Transports du personnel - OHADA"</v>
          </cell>
          <cell r="C963" t="str">
            <v>Transports du personnel</v>
          </cell>
          <cell r="D963" t="str">
            <v>OHADA</v>
          </cell>
          <cell r="E963" t="str">
            <v>610000 - Transports - OHADA</v>
          </cell>
          <cell r="F963">
            <v>614000</v>
          </cell>
          <cell r="G963" t="str">
            <v>0</v>
          </cell>
          <cell r="H963" t="str">
            <v>Expense</v>
          </cell>
          <cell r="I963" t="str">
            <v>Profit and Loss</v>
          </cell>
          <cell r="J963" t="str">
            <v>XAF</v>
          </cell>
          <cell r="K963" t="str">
            <v>Transport</v>
          </cell>
        </row>
        <row r="964">
          <cell r="A964" t="str">
            <v>A963</v>
          </cell>
          <cell r="B964" t="str">
            <v>"616000 - Transports de plis - OHADA"</v>
          </cell>
          <cell r="C964" t="str">
            <v>Transports de plis</v>
          </cell>
          <cell r="D964" t="str">
            <v>OHADA</v>
          </cell>
          <cell r="E964" t="str">
            <v>610000 - Transports - OHADA</v>
          </cell>
          <cell r="F964">
            <v>616000</v>
          </cell>
          <cell r="G964" t="str">
            <v>0</v>
          </cell>
          <cell r="H964" t="str">
            <v>Expense</v>
          </cell>
          <cell r="I964" t="str">
            <v>Profit and Loss</v>
          </cell>
          <cell r="J964" t="str">
            <v>XAF</v>
          </cell>
          <cell r="K964" t="str">
            <v>Transport</v>
          </cell>
        </row>
        <row r="965">
          <cell r="A965" t="str">
            <v>A964</v>
          </cell>
          <cell r="B965" t="str">
            <v>"618000 - Autres frais de transport - OHADA"</v>
          </cell>
          <cell r="C965" t="str">
            <v>Autres frais de transport</v>
          </cell>
          <cell r="D965" t="str">
            <v>OHADA</v>
          </cell>
          <cell r="E965" t="str">
            <v>610000 - Transports - OHADA</v>
          </cell>
          <cell r="F965">
            <v>618000</v>
          </cell>
          <cell r="G965" t="str">
            <v>1</v>
          </cell>
          <cell r="H965" t="str">
            <v>Expense</v>
          </cell>
          <cell r="I965" t="str">
            <v>Profit and Loss</v>
          </cell>
          <cell r="J965" t="str">
            <v>XAF</v>
          </cell>
          <cell r="K965" t="str">
            <v>Transport</v>
          </cell>
        </row>
        <row r="966">
          <cell r="A966" t="str">
            <v>A965</v>
          </cell>
          <cell r="B966" t="str">
            <v>"618100 - Voyages et déplacements - OHADA"</v>
          </cell>
          <cell r="C966" t="str">
            <v>Voyages et déplacements</v>
          </cell>
          <cell r="D966" t="str">
            <v>OHADA</v>
          </cell>
          <cell r="E966" t="str">
            <v>618000 - Autres frais de transport - OHADA</v>
          </cell>
          <cell r="F966">
            <v>618100</v>
          </cell>
          <cell r="G966" t="str">
            <v>0</v>
          </cell>
          <cell r="H966" t="str">
            <v>Expense</v>
          </cell>
          <cell r="I966" t="str">
            <v>Profit and Loss</v>
          </cell>
          <cell r="J966" t="str">
            <v>XAF</v>
          </cell>
          <cell r="K966" t="str">
            <v>Transport</v>
          </cell>
        </row>
        <row r="967">
          <cell r="A967" t="str">
            <v>A966</v>
          </cell>
          <cell r="B967" t="str">
            <v>"618200 - Transports entre établissements ou chantiers - OHADA"</v>
          </cell>
          <cell r="C967" t="str">
            <v>Transports entre établissements ou chantiers</v>
          </cell>
          <cell r="D967" t="str">
            <v>OHADA</v>
          </cell>
          <cell r="E967" t="str">
            <v>618000 - Autres frais de transport - OHADA</v>
          </cell>
          <cell r="F967">
            <v>618200</v>
          </cell>
          <cell r="G967" t="str">
            <v>0</v>
          </cell>
          <cell r="H967" t="str">
            <v>Expense</v>
          </cell>
          <cell r="I967" t="str">
            <v>Profit and Loss</v>
          </cell>
          <cell r="J967" t="str">
            <v>XAF</v>
          </cell>
          <cell r="K967" t="str">
            <v>Transport</v>
          </cell>
        </row>
        <row r="968">
          <cell r="A968" t="str">
            <v>A967</v>
          </cell>
          <cell r="B968" t="str">
            <v>"618300 - Transports administratifs - OHADA"</v>
          </cell>
          <cell r="C968" t="str">
            <v>Transports administratifs</v>
          </cell>
          <cell r="D968" t="str">
            <v>OHADA</v>
          </cell>
          <cell r="E968" t="str">
            <v>618000 - Autres frais de transport - OHADA</v>
          </cell>
          <cell r="F968">
            <v>618300</v>
          </cell>
          <cell r="G968" t="str">
            <v>0</v>
          </cell>
          <cell r="H968" t="str">
            <v>Expense</v>
          </cell>
          <cell r="I968" t="str">
            <v>Profit and Loss</v>
          </cell>
          <cell r="J968" t="str">
            <v>XAF</v>
          </cell>
          <cell r="K968" t="str">
            <v>Transport</v>
          </cell>
        </row>
        <row r="969">
          <cell r="A969" t="str">
            <v>A968</v>
          </cell>
          <cell r="B969" t="str">
            <v>"620000 - Services extérieurs - OHADA"</v>
          </cell>
          <cell r="C969" t="str">
            <v>Services extérieurs</v>
          </cell>
          <cell r="D969" t="str">
            <v>OHADA</v>
          </cell>
          <cell r="E969" t="str">
            <v>6 - Comptes de charges des activités ordinaires - OHADA</v>
          </cell>
          <cell r="F969">
            <v>620000</v>
          </cell>
          <cell r="G969" t="str">
            <v>1</v>
          </cell>
          <cell r="H969" t="str">
            <v>Expense</v>
          </cell>
          <cell r="I969" t="str">
            <v>Profit and Loss</v>
          </cell>
          <cell r="J969" t="str">
            <v>XAF</v>
          </cell>
          <cell r="K969" t="str">
            <v>Services extérieurs</v>
          </cell>
        </row>
        <row r="970">
          <cell r="A970" t="str">
            <v>A969</v>
          </cell>
          <cell r="B970" t="str">
            <v>"621000 - Sous - traitance générale - OHADA"</v>
          </cell>
          <cell r="C970" t="str">
            <v>Sous-traitance générale</v>
          </cell>
          <cell r="D970" t="str">
            <v>OHADA</v>
          </cell>
          <cell r="E970" t="str">
            <v>620000 - Services extérieurs - OHADA</v>
          </cell>
          <cell r="F970">
            <v>621000</v>
          </cell>
          <cell r="G970" t="str">
            <v>0</v>
          </cell>
          <cell r="H970" t="str">
            <v>Expense</v>
          </cell>
          <cell r="I970" t="str">
            <v>Profit and Loss</v>
          </cell>
          <cell r="J970" t="str">
            <v>XAF</v>
          </cell>
          <cell r="K970" t="str">
            <v>Services extérieurs</v>
          </cell>
        </row>
        <row r="971">
          <cell r="A971" t="str">
            <v>A970</v>
          </cell>
          <cell r="B971" t="str">
            <v>"622000 - Locations, charges locatives - OHADA"</v>
          </cell>
          <cell r="C971" t="str">
            <v>Locations, charges locatives</v>
          </cell>
          <cell r="D971" t="str">
            <v>OHADA</v>
          </cell>
          <cell r="E971" t="str">
            <v>620000 - Services extérieurs - OHADA</v>
          </cell>
          <cell r="F971">
            <v>622000</v>
          </cell>
          <cell r="G971" t="str">
            <v>1</v>
          </cell>
          <cell r="H971" t="str">
            <v>Expense</v>
          </cell>
          <cell r="I971" t="str">
            <v>Profit and Loss</v>
          </cell>
          <cell r="J971" t="str">
            <v>XAF</v>
          </cell>
          <cell r="K971" t="str">
            <v>Services extérieurs</v>
          </cell>
        </row>
        <row r="972">
          <cell r="A972" t="str">
            <v>A971</v>
          </cell>
          <cell r="B972" t="str">
            <v>"622100 - Locations de terrains - OHADA"</v>
          </cell>
          <cell r="C972" t="str">
            <v>Locations de terrains</v>
          </cell>
          <cell r="D972" t="str">
            <v>OHADA</v>
          </cell>
          <cell r="E972" t="str">
            <v>622000 - Locations, charges locatives - OHADA</v>
          </cell>
          <cell r="F972">
            <v>622100</v>
          </cell>
          <cell r="G972" t="str">
            <v>0</v>
          </cell>
          <cell r="H972" t="str">
            <v>Expense</v>
          </cell>
          <cell r="I972" t="str">
            <v>Profit and Loss</v>
          </cell>
          <cell r="J972" t="str">
            <v>XAF</v>
          </cell>
          <cell r="K972" t="str">
            <v>Services extérieurs</v>
          </cell>
        </row>
        <row r="973">
          <cell r="A973" t="str">
            <v>A972</v>
          </cell>
          <cell r="B973" t="str">
            <v>"622200 - Locations de bâtiments - OHADA"</v>
          </cell>
          <cell r="C973" t="str">
            <v>Locations de bâtiments</v>
          </cell>
          <cell r="D973" t="str">
            <v>OHADA</v>
          </cell>
          <cell r="E973" t="str">
            <v>622000 - Locations, charges locatives - OHADA</v>
          </cell>
          <cell r="F973">
            <v>622200</v>
          </cell>
          <cell r="G973" t="str">
            <v>0</v>
          </cell>
          <cell r="H973" t="str">
            <v>Expense</v>
          </cell>
          <cell r="I973" t="str">
            <v>Profit and Loss</v>
          </cell>
          <cell r="J973" t="str">
            <v>XAF</v>
          </cell>
          <cell r="K973" t="str">
            <v>Services extérieurs</v>
          </cell>
        </row>
        <row r="974">
          <cell r="A974" t="str">
            <v>A973</v>
          </cell>
          <cell r="B974" t="str">
            <v>"622300 - Locations de matériels et outillages - OHADA"</v>
          </cell>
          <cell r="C974" t="str">
            <v>Locations de matériels et outillages</v>
          </cell>
          <cell r="D974" t="str">
            <v>OHADA</v>
          </cell>
          <cell r="E974" t="str">
            <v>622000 - Locations, charges locatives - OHADA</v>
          </cell>
          <cell r="F974">
            <v>622300</v>
          </cell>
          <cell r="G974" t="str">
            <v>0</v>
          </cell>
          <cell r="H974" t="str">
            <v>Expense</v>
          </cell>
          <cell r="I974" t="str">
            <v>Profit and Loss</v>
          </cell>
          <cell r="J974" t="str">
            <v>XAF</v>
          </cell>
          <cell r="K974" t="str">
            <v>Services extérieurs</v>
          </cell>
        </row>
        <row r="975">
          <cell r="A975" t="str">
            <v>A974</v>
          </cell>
          <cell r="B975" t="str">
            <v>"622400 - Malis sur emballages - OHADA"</v>
          </cell>
          <cell r="C975" t="str">
            <v>Malis sur emballages</v>
          </cell>
          <cell r="D975" t="str">
            <v>OHADA</v>
          </cell>
          <cell r="E975" t="str">
            <v>622000 - Locations, charges locatives - OHADA</v>
          </cell>
          <cell r="F975">
            <v>622400</v>
          </cell>
          <cell r="G975" t="str">
            <v>0</v>
          </cell>
          <cell r="H975" t="str">
            <v>Expense</v>
          </cell>
          <cell r="I975" t="str">
            <v>Profit and Loss</v>
          </cell>
          <cell r="J975" t="str">
            <v>XAF</v>
          </cell>
          <cell r="K975" t="str">
            <v>Services extérieurs</v>
          </cell>
        </row>
        <row r="976">
          <cell r="A976" t="str">
            <v>A975</v>
          </cell>
          <cell r="B976" t="str">
            <v>"622500 - Locations d’emballages - OHADA"</v>
          </cell>
          <cell r="C976" t="str">
            <v>Locations d’emballages</v>
          </cell>
          <cell r="D976" t="str">
            <v>OHADA</v>
          </cell>
          <cell r="E976" t="str">
            <v>622000 - Locations, charges locatives - OHADA</v>
          </cell>
          <cell r="F976">
            <v>622500</v>
          </cell>
          <cell r="G976" t="str">
            <v>0</v>
          </cell>
          <cell r="H976" t="str">
            <v>Expense</v>
          </cell>
          <cell r="I976" t="str">
            <v>Profit and Loss</v>
          </cell>
          <cell r="J976" t="str">
            <v>XAF</v>
          </cell>
          <cell r="K976" t="str">
            <v>Services extérieurs</v>
          </cell>
        </row>
        <row r="977">
          <cell r="A977" t="str">
            <v>A976</v>
          </cell>
          <cell r="B977" t="str">
            <v>"622600 - Fermages et loyers du foncier - OHADA"</v>
          </cell>
          <cell r="C977" t="str">
            <v>Fermages et loyers du foncier</v>
          </cell>
          <cell r="D977" t="str">
            <v>OHADA</v>
          </cell>
          <cell r="E977" t="str">
            <v>622000 - Locations, charges locatives - OHADA</v>
          </cell>
          <cell r="F977">
            <v>622600</v>
          </cell>
          <cell r="G977" t="str">
            <v>0</v>
          </cell>
          <cell r="H977" t="str">
            <v>Expense</v>
          </cell>
          <cell r="I977" t="str">
            <v>Profit and Loss</v>
          </cell>
          <cell r="J977" t="str">
            <v>XAF</v>
          </cell>
          <cell r="K977" t="str">
            <v>Services extérieurs</v>
          </cell>
        </row>
        <row r="978">
          <cell r="A978" t="str">
            <v>A977</v>
          </cell>
          <cell r="B978" t="str">
            <v>"622800 - Locations et charges locatives diverses - OHADA"</v>
          </cell>
          <cell r="C978" t="str">
            <v>Locations et charges locatives diverses</v>
          </cell>
          <cell r="D978" t="str">
            <v>OHADA</v>
          </cell>
          <cell r="E978" t="str">
            <v>622000 - Locations, charges locatives - OHADA</v>
          </cell>
          <cell r="F978">
            <v>622800</v>
          </cell>
          <cell r="G978" t="str">
            <v>0</v>
          </cell>
          <cell r="H978" t="str">
            <v>Expense</v>
          </cell>
          <cell r="I978" t="str">
            <v>Profit and Loss</v>
          </cell>
          <cell r="J978" t="str">
            <v>XAF</v>
          </cell>
          <cell r="K978" t="str">
            <v>Services extérieurs</v>
          </cell>
        </row>
        <row r="979">
          <cell r="A979" t="str">
            <v>A978</v>
          </cell>
          <cell r="B979" t="str">
            <v>"623000 - Redevances de location acquisition - OHADA"</v>
          </cell>
          <cell r="C979" t="str">
            <v>Redevances de location acquisition</v>
          </cell>
          <cell r="D979" t="str">
            <v>OHADA</v>
          </cell>
          <cell r="E979" t="str">
            <v>620000 - Services extérieurs - OHADA</v>
          </cell>
          <cell r="F979">
            <v>623000</v>
          </cell>
          <cell r="G979" t="str">
            <v>1</v>
          </cell>
          <cell r="H979" t="str">
            <v>Expense</v>
          </cell>
          <cell r="I979" t="str">
            <v>Profit and Loss</v>
          </cell>
          <cell r="J979" t="str">
            <v>XAF</v>
          </cell>
          <cell r="K979" t="str">
            <v>Services extérieurs</v>
          </cell>
        </row>
        <row r="980">
          <cell r="A980" t="str">
            <v>A979</v>
          </cell>
          <cell r="B980" t="str">
            <v>"623200 - Crédit - bail immobilier - OHADA"</v>
          </cell>
          <cell r="C980" t="str">
            <v>Crédit-bail immobilier</v>
          </cell>
          <cell r="D980" t="str">
            <v>OHADA</v>
          </cell>
          <cell r="E980" t="str">
            <v>623000 - Redevances de location acquisition - OHADA</v>
          </cell>
          <cell r="F980">
            <v>623200</v>
          </cell>
          <cell r="G980" t="str">
            <v>0</v>
          </cell>
          <cell r="H980" t="str">
            <v>Expense</v>
          </cell>
          <cell r="I980" t="str">
            <v>Profit and Loss</v>
          </cell>
          <cell r="J980" t="str">
            <v>XAF</v>
          </cell>
          <cell r="K980" t="str">
            <v>Services extérieurs</v>
          </cell>
        </row>
        <row r="981">
          <cell r="A981" t="str">
            <v>A980</v>
          </cell>
          <cell r="B981" t="str">
            <v>"623300 - Crédit - bail mobilier - OHADA"</v>
          </cell>
          <cell r="C981" t="str">
            <v>Crédit-bail mobilier</v>
          </cell>
          <cell r="D981" t="str">
            <v>OHADA</v>
          </cell>
          <cell r="E981" t="str">
            <v>623000 - Redevances de location acquisition - OHADA</v>
          </cell>
          <cell r="F981">
            <v>623300</v>
          </cell>
          <cell r="G981" t="str">
            <v>0</v>
          </cell>
          <cell r="H981" t="str">
            <v>Expense</v>
          </cell>
          <cell r="I981" t="str">
            <v>Profit and Loss</v>
          </cell>
          <cell r="J981" t="str">
            <v>XAF</v>
          </cell>
          <cell r="K981" t="str">
            <v>Services extérieurs</v>
          </cell>
        </row>
        <row r="982">
          <cell r="A982" t="str">
            <v>A981</v>
          </cell>
          <cell r="B982" t="str">
            <v>"623400 - Location - vente - OHADA"</v>
          </cell>
          <cell r="C982" t="str">
            <v>Location-vente</v>
          </cell>
          <cell r="D982" t="str">
            <v>OHADA</v>
          </cell>
          <cell r="E982" t="str">
            <v>623000 - Redevances de location acquisition - OHADA</v>
          </cell>
          <cell r="F982">
            <v>623400</v>
          </cell>
          <cell r="G982" t="str">
            <v>0</v>
          </cell>
          <cell r="H982" t="str">
            <v>Expense</v>
          </cell>
          <cell r="I982" t="str">
            <v>Profit and Loss</v>
          </cell>
          <cell r="J982" t="str">
            <v>XAF</v>
          </cell>
          <cell r="K982" t="str">
            <v>Services extérieurs</v>
          </cell>
        </row>
        <row r="983">
          <cell r="A983" t="str">
            <v>A982</v>
          </cell>
          <cell r="B983" t="str">
            <v>"623800 - Autres contrats de location acquisition - OHADA"</v>
          </cell>
          <cell r="C983" t="str">
            <v>Autres contrats de location acquisition</v>
          </cell>
          <cell r="D983" t="str">
            <v>OHADA</v>
          </cell>
          <cell r="E983" t="str">
            <v>623000 - Redevances de location acquisition - OHADA</v>
          </cell>
          <cell r="F983">
            <v>623800</v>
          </cell>
          <cell r="G983" t="str">
            <v>0</v>
          </cell>
          <cell r="H983" t="str">
            <v>Expense</v>
          </cell>
          <cell r="I983" t="str">
            <v>Profit and Loss</v>
          </cell>
          <cell r="J983" t="str">
            <v>XAF</v>
          </cell>
          <cell r="K983" t="str">
            <v>Services extérieurs</v>
          </cell>
        </row>
        <row r="984">
          <cell r="A984" t="str">
            <v>A983</v>
          </cell>
          <cell r="B984" t="str">
            <v>"624000 - Entretien, réparations, remise en état et maintenance - OHADA"</v>
          </cell>
          <cell r="C984" t="str">
            <v>Entretien, réparations, remise en état et maintenance</v>
          </cell>
          <cell r="D984" t="str">
            <v>OHADA</v>
          </cell>
          <cell r="E984" t="str">
            <v>620000 - Services extérieurs - OHADA</v>
          </cell>
          <cell r="F984">
            <v>624000</v>
          </cell>
          <cell r="G984" t="str">
            <v>1</v>
          </cell>
          <cell r="H984" t="str">
            <v>Expense</v>
          </cell>
          <cell r="I984" t="str">
            <v>Profit and Loss</v>
          </cell>
          <cell r="J984" t="str">
            <v>XAF</v>
          </cell>
          <cell r="K984" t="str">
            <v>Services extérieurs</v>
          </cell>
        </row>
        <row r="985">
          <cell r="A985" t="str">
            <v>A984</v>
          </cell>
          <cell r="B985" t="str">
            <v>"624100 - Entretien et réparations des biens immobiliers - OHADA"</v>
          </cell>
          <cell r="C985" t="str">
            <v>Entretien et réparations des biens immobiliers</v>
          </cell>
          <cell r="D985" t="str">
            <v>OHADA</v>
          </cell>
          <cell r="E985" t="str">
            <v>624000 - Entretien, réparations, remise en état et maintenance - OHADA</v>
          </cell>
          <cell r="F985">
            <v>624100</v>
          </cell>
          <cell r="G985" t="str">
            <v>0</v>
          </cell>
          <cell r="H985" t="str">
            <v>Expense</v>
          </cell>
          <cell r="I985" t="str">
            <v>Profit and Loss</v>
          </cell>
          <cell r="J985" t="str">
            <v>XAF</v>
          </cell>
          <cell r="K985" t="str">
            <v>Services extérieurs</v>
          </cell>
        </row>
        <row r="986">
          <cell r="A986" t="str">
            <v>A985</v>
          </cell>
          <cell r="B986" t="str">
            <v>"624200 - Entretien et réparations des biens mobiliers - OHADA"</v>
          </cell>
          <cell r="C986" t="str">
            <v>Entretien et réparations des biens mobiliers</v>
          </cell>
          <cell r="D986" t="str">
            <v>OHADA</v>
          </cell>
          <cell r="E986" t="str">
            <v>624000 - Entretien, réparations, remise en état et maintenance - OHADA</v>
          </cell>
          <cell r="F986">
            <v>624200</v>
          </cell>
          <cell r="G986" t="str">
            <v>0</v>
          </cell>
          <cell r="H986" t="str">
            <v>Expense</v>
          </cell>
          <cell r="I986" t="str">
            <v>Profit and Loss</v>
          </cell>
          <cell r="J986" t="str">
            <v>XAF</v>
          </cell>
          <cell r="K986" t="str">
            <v>Services extérieurs</v>
          </cell>
        </row>
        <row r="987">
          <cell r="A987" t="str">
            <v>A986</v>
          </cell>
          <cell r="B987" t="str">
            <v>"624300 - Maintenance - OHADA"</v>
          </cell>
          <cell r="C987" t="str">
            <v>Maintenance</v>
          </cell>
          <cell r="D987" t="str">
            <v>OHADA</v>
          </cell>
          <cell r="E987" t="str">
            <v>624000 - Entretien, réparations, remise en état et maintenance - OHADA</v>
          </cell>
          <cell r="F987">
            <v>624300</v>
          </cell>
          <cell r="G987" t="str">
            <v>0</v>
          </cell>
          <cell r="H987" t="str">
            <v>Expense</v>
          </cell>
          <cell r="I987" t="str">
            <v>Profit and Loss</v>
          </cell>
          <cell r="J987" t="str">
            <v>XAF</v>
          </cell>
          <cell r="K987" t="str">
            <v>Services extérieurs</v>
          </cell>
        </row>
        <row r="988">
          <cell r="A988" t="str">
            <v>A987</v>
          </cell>
          <cell r="B988" t="str">
            <v>"624400 - Charges de démantèlement et remise en état - OHADA"</v>
          </cell>
          <cell r="C988" t="str">
            <v>Charges de démantèlement et remise en état</v>
          </cell>
          <cell r="D988" t="str">
            <v>OHADA</v>
          </cell>
          <cell r="E988" t="str">
            <v>624000 - Entretien, réparations, remise en état et maintenance - OHADA</v>
          </cell>
          <cell r="F988">
            <v>624400</v>
          </cell>
          <cell r="G988" t="str">
            <v>0</v>
          </cell>
          <cell r="H988" t="str">
            <v>Expense</v>
          </cell>
          <cell r="I988" t="str">
            <v>Profit and Loss</v>
          </cell>
          <cell r="J988" t="str">
            <v>XAF</v>
          </cell>
          <cell r="K988" t="str">
            <v>Services extérieurs</v>
          </cell>
        </row>
        <row r="989">
          <cell r="A989" t="str">
            <v>A988</v>
          </cell>
          <cell r="B989" t="str">
            <v>"624800 - Autres entretiens et réparations - OHADA"</v>
          </cell>
          <cell r="C989" t="str">
            <v>Autres entretiens et réparations</v>
          </cell>
          <cell r="D989" t="str">
            <v>OHADA</v>
          </cell>
          <cell r="E989" t="str">
            <v>624000 - Entretien, réparations, remise en état et maintenance - OHADA</v>
          </cell>
          <cell r="F989">
            <v>624800</v>
          </cell>
          <cell r="G989" t="str">
            <v>0</v>
          </cell>
          <cell r="H989" t="str">
            <v>Expense</v>
          </cell>
          <cell r="I989" t="str">
            <v>Profit and Loss</v>
          </cell>
          <cell r="J989" t="str">
            <v>XAF</v>
          </cell>
          <cell r="K989" t="str">
            <v>Services extérieurs</v>
          </cell>
        </row>
        <row r="990">
          <cell r="A990" t="str">
            <v>A989</v>
          </cell>
          <cell r="B990" t="str">
            <v>"625000 - Primes d’assurance - OHADA"</v>
          </cell>
          <cell r="C990" t="str">
            <v>Primes d’assurance</v>
          </cell>
          <cell r="D990" t="str">
            <v>OHADA</v>
          </cell>
          <cell r="E990" t="str">
            <v>620000 - Services extérieurs - OHADA</v>
          </cell>
          <cell r="F990">
            <v>625000</v>
          </cell>
          <cell r="G990" t="str">
            <v>1</v>
          </cell>
          <cell r="H990" t="str">
            <v>Expense</v>
          </cell>
          <cell r="I990" t="str">
            <v>Profit and Loss</v>
          </cell>
          <cell r="J990" t="str">
            <v>XAF</v>
          </cell>
          <cell r="K990" t="str">
            <v>Services extérieurs</v>
          </cell>
        </row>
        <row r="991">
          <cell r="A991" t="str">
            <v>A990</v>
          </cell>
          <cell r="B991" t="str">
            <v>"625100 - Assurances multirisques - OHADA"</v>
          </cell>
          <cell r="C991" t="str">
            <v>Assurances multirisques</v>
          </cell>
          <cell r="D991" t="str">
            <v>OHADA</v>
          </cell>
          <cell r="E991" t="str">
            <v>625000 - Primes d’assurance - OHADA</v>
          </cell>
          <cell r="F991">
            <v>625100</v>
          </cell>
          <cell r="G991" t="str">
            <v>0</v>
          </cell>
          <cell r="H991" t="str">
            <v>Expense</v>
          </cell>
          <cell r="I991" t="str">
            <v>Profit and Loss</v>
          </cell>
          <cell r="J991" t="str">
            <v>XAF</v>
          </cell>
          <cell r="K991" t="str">
            <v>Services extérieurs</v>
          </cell>
        </row>
        <row r="992">
          <cell r="A992" t="str">
            <v>A991</v>
          </cell>
          <cell r="B992" t="str">
            <v>"625200 - Assurances matériel de transport - OHADA"</v>
          </cell>
          <cell r="C992" t="str">
            <v>Assurances matériel de transport</v>
          </cell>
          <cell r="D992" t="str">
            <v>OHADA</v>
          </cell>
          <cell r="E992" t="str">
            <v>625000 - Primes d’assurance - OHADA</v>
          </cell>
          <cell r="F992">
            <v>625200</v>
          </cell>
          <cell r="G992" t="str">
            <v>0</v>
          </cell>
          <cell r="H992" t="str">
            <v>Expense</v>
          </cell>
          <cell r="I992" t="str">
            <v>Profit and Loss</v>
          </cell>
          <cell r="J992" t="str">
            <v>XAF</v>
          </cell>
          <cell r="K992" t="str">
            <v>Services extérieurs</v>
          </cell>
        </row>
        <row r="993">
          <cell r="A993" t="str">
            <v>A992</v>
          </cell>
          <cell r="B993" t="str">
            <v>"625300 - Assurances risques d’exploitation - OHADA"</v>
          </cell>
          <cell r="C993" t="str">
            <v>Assurances risques d’exploitation</v>
          </cell>
          <cell r="D993" t="str">
            <v>OHADA</v>
          </cell>
          <cell r="E993" t="str">
            <v>625000 - Primes d’assurance - OHADA</v>
          </cell>
          <cell r="F993">
            <v>625300</v>
          </cell>
          <cell r="G993" t="str">
            <v>0</v>
          </cell>
          <cell r="H993" t="str">
            <v>Expense</v>
          </cell>
          <cell r="I993" t="str">
            <v>Profit and Loss</v>
          </cell>
          <cell r="J993" t="str">
            <v>XAF</v>
          </cell>
          <cell r="K993" t="str">
            <v>Services extérieurs</v>
          </cell>
        </row>
        <row r="994">
          <cell r="A994" t="str">
            <v>A993</v>
          </cell>
          <cell r="B994" t="str">
            <v>"625400 - Assurances responsabilité du producteur - OHADA"</v>
          </cell>
          <cell r="C994" t="str">
            <v>Assurances responsabilité du producteur</v>
          </cell>
          <cell r="D994" t="str">
            <v>OHADA</v>
          </cell>
          <cell r="E994" t="str">
            <v>625000 - Primes d’assurance - OHADA</v>
          </cell>
          <cell r="F994">
            <v>625400</v>
          </cell>
          <cell r="G994" t="str">
            <v>0</v>
          </cell>
          <cell r="H994" t="str">
            <v>Expense</v>
          </cell>
          <cell r="I994" t="str">
            <v>Profit and Loss</v>
          </cell>
          <cell r="J994" t="str">
            <v>XAF</v>
          </cell>
          <cell r="K994" t="str">
            <v>Services extérieurs</v>
          </cell>
        </row>
        <row r="995">
          <cell r="A995" t="str">
            <v>A994</v>
          </cell>
          <cell r="B995" t="str">
            <v>"625500 - Assurances insolvabilité clients - OHADA"</v>
          </cell>
          <cell r="C995" t="str">
            <v>Assurances insolvabilité clients</v>
          </cell>
          <cell r="D995" t="str">
            <v>OHADA</v>
          </cell>
          <cell r="E995" t="str">
            <v>625000 - Primes d’assurance - OHADA</v>
          </cell>
          <cell r="F995">
            <v>625500</v>
          </cell>
          <cell r="G995" t="str">
            <v>0</v>
          </cell>
          <cell r="H995" t="str">
            <v>Expense</v>
          </cell>
          <cell r="I995" t="str">
            <v>Profit and Loss</v>
          </cell>
          <cell r="J995" t="str">
            <v>XAF</v>
          </cell>
          <cell r="K995" t="str">
            <v>Services extérieurs</v>
          </cell>
        </row>
        <row r="996">
          <cell r="A996" t="str">
            <v>A995</v>
          </cell>
          <cell r="B996" t="str">
            <v>"625700 - Assurances transport sur ventes - OHADA"</v>
          </cell>
          <cell r="C996" t="str">
            <v>Assurances transport sur ventes</v>
          </cell>
          <cell r="D996" t="str">
            <v>OHADA</v>
          </cell>
          <cell r="E996" t="str">
            <v>625000 - Primes d’assurance - OHADA</v>
          </cell>
          <cell r="F996">
            <v>625700</v>
          </cell>
          <cell r="G996" t="str">
            <v>0</v>
          </cell>
          <cell r="H996" t="str">
            <v>Expense</v>
          </cell>
          <cell r="I996" t="str">
            <v>Profit and Loss</v>
          </cell>
          <cell r="J996" t="str">
            <v>XAF</v>
          </cell>
          <cell r="K996" t="str">
            <v>Services extérieurs</v>
          </cell>
        </row>
        <row r="997">
          <cell r="A997" t="str">
            <v>A996</v>
          </cell>
          <cell r="B997" t="str">
            <v>"625800 - Autres primes d’assurances - OHADA"</v>
          </cell>
          <cell r="C997" t="str">
            <v>Autres primes d’assurances</v>
          </cell>
          <cell r="D997" t="str">
            <v>OHADA</v>
          </cell>
          <cell r="E997" t="str">
            <v>625000 - Primes d’assurance - OHADA</v>
          </cell>
          <cell r="F997">
            <v>625800</v>
          </cell>
          <cell r="G997" t="str">
            <v>0</v>
          </cell>
          <cell r="H997" t="str">
            <v>Expense</v>
          </cell>
          <cell r="I997" t="str">
            <v>Profit and Loss</v>
          </cell>
          <cell r="J997" t="str">
            <v>XAF</v>
          </cell>
          <cell r="K997" t="str">
            <v>Services extérieurs</v>
          </cell>
        </row>
        <row r="998">
          <cell r="A998" t="str">
            <v>A997</v>
          </cell>
          <cell r="B998" t="str">
            <v>"626000 - Études, recherches et documentation - OHADA"</v>
          </cell>
          <cell r="C998" t="str">
            <v>Études, recherches et documentation</v>
          </cell>
          <cell r="D998" t="str">
            <v>OHADA</v>
          </cell>
          <cell r="E998" t="str">
            <v>620000 - Services extérieurs - OHADA</v>
          </cell>
          <cell r="F998">
            <v>626000</v>
          </cell>
          <cell r="G998" t="str">
            <v>1</v>
          </cell>
          <cell r="H998" t="str">
            <v>Expense</v>
          </cell>
          <cell r="I998" t="str">
            <v>Profit and Loss</v>
          </cell>
          <cell r="J998" t="str">
            <v>XAF</v>
          </cell>
          <cell r="K998" t="str">
            <v>Services extérieurs</v>
          </cell>
        </row>
        <row r="999">
          <cell r="A999" t="str">
            <v>A998</v>
          </cell>
          <cell r="B999" t="str">
            <v>"626100 - Études et recherches - OHADA"</v>
          </cell>
          <cell r="C999" t="str">
            <v>Études et recherches</v>
          </cell>
          <cell r="D999" t="str">
            <v>OHADA</v>
          </cell>
          <cell r="E999" t="str">
            <v>626000 - Études, recherches et documentation - OHADA</v>
          </cell>
          <cell r="F999">
            <v>626100</v>
          </cell>
          <cell r="G999" t="str">
            <v>0</v>
          </cell>
          <cell r="H999" t="str">
            <v>Expense</v>
          </cell>
          <cell r="I999" t="str">
            <v>Profit and Loss</v>
          </cell>
          <cell r="J999" t="str">
            <v>XAF</v>
          </cell>
          <cell r="K999" t="str">
            <v>Services extérieurs</v>
          </cell>
        </row>
        <row r="1000">
          <cell r="A1000" t="str">
            <v>A999</v>
          </cell>
          <cell r="B1000" t="str">
            <v>"626500 - Documentation générale - OHADA"</v>
          </cell>
          <cell r="C1000" t="str">
            <v>Documentation générale</v>
          </cell>
          <cell r="D1000" t="str">
            <v>OHADA</v>
          </cell>
          <cell r="E1000" t="str">
            <v>626000 - Études, recherches et documentation - OHADA</v>
          </cell>
          <cell r="F1000">
            <v>626500</v>
          </cell>
          <cell r="G1000" t="str">
            <v>0</v>
          </cell>
          <cell r="H1000" t="str">
            <v>Expense</v>
          </cell>
          <cell r="I1000" t="str">
            <v>Profit and Loss</v>
          </cell>
          <cell r="J1000" t="str">
            <v>XAF</v>
          </cell>
          <cell r="K1000" t="str">
            <v>Services extérieurs</v>
          </cell>
        </row>
        <row r="1001">
          <cell r="A1001" t="str">
            <v>A1000</v>
          </cell>
          <cell r="B1001" t="str">
            <v>"626600 - Documentation technique - OHADA"</v>
          </cell>
          <cell r="C1001" t="str">
            <v>Documentation technique</v>
          </cell>
          <cell r="D1001" t="str">
            <v>OHADA</v>
          </cell>
          <cell r="E1001" t="str">
            <v>626000 - Études, recherches et documentation - OHADA</v>
          </cell>
          <cell r="F1001">
            <v>626600</v>
          </cell>
          <cell r="G1001" t="str">
            <v>0</v>
          </cell>
          <cell r="H1001" t="str">
            <v>Expense</v>
          </cell>
          <cell r="I1001" t="str">
            <v>Profit and Loss</v>
          </cell>
          <cell r="J1001" t="str">
            <v>XAF</v>
          </cell>
          <cell r="K1001" t="str">
            <v>Services extérieurs</v>
          </cell>
        </row>
        <row r="1002">
          <cell r="A1002" t="str">
            <v>A1001</v>
          </cell>
          <cell r="B1002" t="str">
            <v>"627000 - Publicité, publications, relations publiques - OHADA"</v>
          </cell>
          <cell r="C1002" t="str">
            <v>Publicité, publications, relations publiques</v>
          </cell>
          <cell r="D1002" t="str">
            <v>OHADA</v>
          </cell>
          <cell r="E1002" t="str">
            <v>620000 - Services extérieurs - OHADA</v>
          </cell>
          <cell r="F1002">
            <v>627000</v>
          </cell>
          <cell r="G1002" t="str">
            <v>1</v>
          </cell>
          <cell r="H1002" t="str">
            <v>Expense</v>
          </cell>
          <cell r="I1002" t="str">
            <v>Profit and Loss</v>
          </cell>
          <cell r="J1002" t="str">
            <v>XAF</v>
          </cell>
          <cell r="K1002" t="str">
            <v>Services extérieurs</v>
          </cell>
        </row>
        <row r="1003">
          <cell r="A1003" t="str">
            <v>A1002</v>
          </cell>
          <cell r="B1003" t="str">
            <v>"627100 - Annonces, insertions - OHADA"</v>
          </cell>
          <cell r="C1003" t="str">
            <v>Annonces, insertions</v>
          </cell>
          <cell r="D1003" t="str">
            <v>OHADA</v>
          </cell>
          <cell r="E1003" t="str">
            <v>627000 - Publicité, publications, relations publiques - OHADA</v>
          </cell>
          <cell r="F1003">
            <v>627100</v>
          </cell>
          <cell r="G1003" t="str">
            <v>0</v>
          </cell>
          <cell r="H1003" t="str">
            <v>Expense</v>
          </cell>
          <cell r="I1003" t="str">
            <v>Profit and Loss</v>
          </cell>
          <cell r="J1003" t="str">
            <v>XAF</v>
          </cell>
          <cell r="K1003" t="str">
            <v>Services extérieurs</v>
          </cell>
        </row>
        <row r="1004">
          <cell r="A1004" t="str">
            <v>A1003</v>
          </cell>
          <cell r="B1004" t="str">
            <v>"627200 - Catalogues, imprimés publicitaires - OHADA"</v>
          </cell>
          <cell r="C1004" t="str">
            <v>Catalogues, imprimés publicitaires</v>
          </cell>
          <cell r="D1004" t="str">
            <v>OHADA</v>
          </cell>
          <cell r="E1004" t="str">
            <v>627000 - Publicité, publications, relations publiques - OHADA</v>
          </cell>
          <cell r="F1004">
            <v>627200</v>
          </cell>
          <cell r="G1004" t="str">
            <v>0</v>
          </cell>
          <cell r="H1004" t="str">
            <v>Expense</v>
          </cell>
          <cell r="I1004" t="str">
            <v>Profit and Loss</v>
          </cell>
          <cell r="J1004" t="str">
            <v>XAF</v>
          </cell>
          <cell r="K1004" t="str">
            <v>Services extérieurs</v>
          </cell>
        </row>
        <row r="1005">
          <cell r="A1005" t="str">
            <v>A1004</v>
          </cell>
          <cell r="B1005" t="str">
            <v>"627300 - Échantillons - OHADA"</v>
          </cell>
          <cell r="C1005" t="str">
            <v>Échantillons</v>
          </cell>
          <cell r="D1005" t="str">
            <v>OHADA</v>
          </cell>
          <cell r="E1005" t="str">
            <v>627000 - Publicité, publications, relations publiques - OHADA</v>
          </cell>
          <cell r="F1005">
            <v>627300</v>
          </cell>
          <cell r="G1005" t="str">
            <v>0</v>
          </cell>
          <cell r="H1005" t="str">
            <v>Expense</v>
          </cell>
          <cell r="I1005" t="str">
            <v>Profit and Loss</v>
          </cell>
          <cell r="J1005" t="str">
            <v>XAF</v>
          </cell>
          <cell r="K1005" t="str">
            <v>Services extérieurs</v>
          </cell>
        </row>
        <row r="1006">
          <cell r="A1006" t="str">
            <v>A1005</v>
          </cell>
          <cell r="B1006" t="str">
            <v>"627400 - Foires et expositions - OHADA"</v>
          </cell>
          <cell r="C1006" t="str">
            <v>Foires et expositions</v>
          </cell>
          <cell r="D1006" t="str">
            <v>OHADA</v>
          </cell>
          <cell r="E1006" t="str">
            <v>627000 - Publicité, publications, relations publiques - OHADA</v>
          </cell>
          <cell r="F1006">
            <v>627400</v>
          </cell>
          <cell r="G1006" t="str">
            <v>0</v>
          </cell>
          <cell r="H1006" t="str">
            <v>Expense</v>
          </cell>
          <cell r="I1006" t="str">
            <v>Profit and Loss</v>
          </cell>
          <cell r="J1006" t="str">
            <v>XAF</v>
          </cell>
          <cell r="K1006" t="str">
            <v>Services extérieurs</v>
          </cell>
        </row>
        <row r="1007">
          <cell r="A1007" t="str">
            <v>A1006</v>
          </cell>
          <cell r="B1007" t="str">
            <v>"627500 - Publications - OHADA"</v>
          </cell>
          <cell r="C1007" t="str">
            <v>Publications</v>
          </cell>
          <cell r="D1007" t="str">
            <v>OHADA</v>
          </cell>
          <cell r="E1007" t="str">
            <v>627000 - Publicité, publications, relations publiques - OHADA</v>
          </cell>
          <cell r="F1007">
            <v>627500</v>
          </cell>
          <cell r="G1007" t="str">
            <v>0</v>
          </cell>
          <cell r="H1007" t="str">
            <v>Expense</v>
          </cell>
          <cell r="I1007" t="str">
            <v>Profit and Loss</v>
          </cell>
          <cell r="J1007" t="str">
            <v>XAF</v>
          </cell>
          <cell r="K1007" t="str">
            <v>Services extérieurs</v>
          </cell>
        </row>
        <row r="1008">
          <cell r="A1008" t="str">
            <v>A1007</v>
          </cell>
          <cell r="B1008" t="str">
            <v>"627600 - Cadeaux à la clientèle - OHADA"</v>
          </cell>
          <cell r="C1008" t="str">
            <v>Cadeaux à la clientèle</v>
          </cell>
          <cell r="D1008" t="str">
            <v>OHADA</v>
          </cell>
          <cell r="E1008" t="str">
            <v>627000 - Publicité, publications, relations publiques - OHADA</v>
          </cell>
          <cell r="F1008">
            <v>627600</v>
          </cell>
          <cell r="G1008" t="str">
            <v>0</v>
          </cell>
          <cell r="H1008" t="str">
            <v>Expense</v>
          </cell>
          <cell r="I1008" t="str">
            <v>Profit and Loss</v>
          </cell>
          <cell r="J1008" t="str">
            <v>XAF</v>
          </cell>
          <cell r="K1008" t="str">
            <v>Services extérieurs</v>
          </cell>
        </row>
        <row r="1009">
          <cell r="A1009" t="str">
            <v>A1008</v>
          </cell>
          <cell r="B1009" t="str">
            <v>"627700 - Frais de colloques, séminaires, conférences - OHADA"</v>
          </cell>
          <cell r="C1009" t="str">
            <v>Frais de colloques, séminaires, conférences</v>
          </cell>
          <cell r="D1009" t="str">
            <v>OHADA</v>
          </cell>
          <cell r="E1009" t="str">
            <v>627000 - Publicité, publications, relations publiques - OHADA</v>
          </cell>
          <cell r="F1009">
            <v>627700</v>
          </cell>
          <cell r="G1009" t="str">
            <v>0</v>
          </cell>
          <cell r="H1009" t="str">
            <v>Expense</v>
          </cell>
          <cell r="I1009" t="str">
            <v>Profit and Loss</v>
          </cell>
          <cell r="J1009" t="str">
            <v>XAF</v>
          </cell>
          <cell r="K1009" t="str">
            <v>Services extérieurs</v>
          </cell>
        </row>
        <row r="1010">
          <cell r="A1010" t="str">
            <v>A1009</v>
          </cell>
          <cell r="B1010" t="str">
            <v>"627800 - Autres charges de publicité et relations publiques - OHADA"</v>
          </cell>
          <cell r="C1010" t="str">
            <v>Autres charges de publicité et relations publiques</v>
          </cell>
          <cell r="D1010" t="str">
            <v>OHADA</v>
          </cell>
          <cell r="E1010" t="str">
            <v>627000 - Publicité, publications, relations publiques - OHADA</v>
          </cell>
          <cell r="F1010">
            <v>627800</v>
          </cell>
          <cell r="G1010" t="str">
            <v>0</v>
          </cell>
          <cell r="H1010" t="str">
            <v>Expense</v>
          </cell>
          <cell r="I1010" t="str">
            <v>Profit and Loss</v>
          </cell>
          <cell r="J1010" t="str">
            <v>XAF</v>
          </cell>
          <cell r="K1010" t="str">
            <v>Services extérieurs</v>
          </cell>
        </row>
        <row r="1011">
          <cell r="A1011" t="str">
            <v>A1010</v>
          </cell>
          <cell r="B1011" t="str">
            <v>"628000 - Frais de télécommunications - OHADA"</v>
          </cell>
          <cell r="C1011" t="str">
            <v>Frais de télécommunications</v>
          </cell>
          <cell r="D1011" t="str">
            <v>OHADA</v>
          </cell>
          <cell r="E1011" t="str">
            <v>620000 - Services extérieurs - OHADA</v>
          </cell>
          <cell r="F1011">
            <v>628000</v>
          </cell>
          <cell r="G1011" t="str">
            <v>1</v>
          </cell>
          <cell r="H1011" t="str">
            <v>Expense</v>
          </cell>
          <cell r="I1011" t="str">
            <v>Profit and Loss</v>
          </cell>
          <cell r="J1011" t="str">
            <v>XAF</v>
          </cell>
          <cell r="K1011" t="str">
            <v>Services extérieurs</v>
          </cell>
        </row>
        <row r="1012">
          <cell r="A1012" t="str">
            <v>A1011</v>
          </cell>
          <cell r="B1012" t="str">
            <v>"628100 - Frais de téléphone - OHADA"</v>
          </cell>
          <cell r="C1012" t="str">
            <v>Frais de téléphone</v>
          </cell>
          <cell r="D1012" t="str">
            <v>OHADA</v>
          </cell>
          <cell r="E1012" t="str">
            <v>628000 - Frais de télécommunications - OHADA</v>
          </cell>
          <cell r="F1012">
            <v>628100</v>
          </cell>
          <cell r="G1012" t="str">
            <v>0</v>
          </cell>
          <cell r="H1012" t="str">
            <v>Expense</v>
          </cell>
          <cell r="I1012" t="str">
            <v>Profit and Loss</v>
          </cell>
          <cell r="J1012" t="str">
            <v>XAF</v>
          </cell>
          <cell r="K1012" t="str">
            <v>Services extérieurs</v>
          </cell>
        </row>
        <row r="1013">
          <cell r="A1013" t="str">
            <v>A1012</v>
          </cell>
          <cell r="B1013" t="str">
            <v>"628200 - Frais de télex - OHADA"</v>
          </cell>
          <cell r="C1013" t="str">
            <v>Frais de télex</v>
          </cell>
          <cell r="D1013" t="str">
            <v>OHADA</v>
          </cell>
          <cell r="E1013" t="str">
            <v>628000 - Frais de télécommunications - OHADA</v>
          </cell>
          <cell r="F1013">
            <v>628200</v>
          </cell>
          <cell r="G1013" t="str">
            <v>0</v>
          </cell>
          <cell r="H1013" t="str">
            <v>Expense</v>
          </cell>
          <cell r="I1013" t="str">
            <v>Profit and Loss</v>
          </cell>
          <cell r="J1013" t="str">
            <v>XAF</v>
          </cell>
          <cell r="K1013" t="str">
            <v>Services extérieurs</v>
          </cell>
        </row>
        <row r="1014">
          <cell r="A1014" t="str">
            <v>A1013</v>
          </cell>
          <cell r="B1014" t="str">
            <v>"628300 - Frais de télécopie - OHADA"</v>
          </cell>
          <cell r="C1014" t="str">
            <v>Frais de télécopie</v>
          </cell>
          <cell r="D1014" t="str">
            <v>OHADA</v>
          </cell>
          <cell r="E1014" t="str">
            <v>628000 - Frais de télécommunications - OHADA</v>
          </cell>
          <cell r="F1014">
            <v>628300</v>
          </cell>
          <cell r="G1014" t="str">
            <v>0</v>
          </cell>
          <cell r="H1014" t="str">
            <v>Expense</v>
          </cell>
          <cell r="I1014" t="str">
            <v>Profit and Loss</v>
          </cell>
          <cell r="J1014" t="str">
            <v>XAF</v>
          </cell>
          <cell r="K1014" t="str">
            <v>Services extérieurs</v>
          </cell>
        </row>
        <row r="1015">
          <cell r="A1015" t="str">
            <v>A1014</v>
          </cell>
          <cell r="B1015" t="str">
            <v>"628800 - Autres frais de télécommunications - OHADA"</v>
          </cell>
          <cell r="C1015" t="str">
            <v>Autres frais de télécommunications</v>
          </cell>
          <cell r="D1015" t="str">
            <v>OHADA</v>
          </cell>
          <cell r="E1015" t="str">
            <v>628000 - Frais de télécommunications - OHADA</v>
          </cell>
          <cell r="F1015">
            <v>628800</v>
          </cell>
          <cell r="G1015" t="str">
            <v>0</v>
          </cell>
          <cell r="H1015" t="str">
            <v>Expense</v>
          </cell>
          <cell r="I1015" t="str">
            <v>Profit and Loss</v>
          </cell>
          <cell r="J1015" t="str">
            <v>XAF</v>
          </cell>
          <cell r="K1015" t="str">
            <v>Services extérieurs</v>
          </cell>
        </row>
        <row r="1016">
          <cell r="A1016" t="str">
            <v>A1015</v>
          </cell>
          <cell r="B1016" t="str">
            <v>"630000 - Autres services extérieurs - OHADA"</v>
          </cell>
          <cell r="C1016" t="str">
            <v>Autres services extérieurs</v>
          </cell>
          <cell r="D1016" t="str">
            <v>OHADA</v>
          </cell>
          <cell r="E1016" t="str">
            <v>6 - Comptes de charges des activités ordinaires - OHADA</v>
          </cell>
          <cell r="F1016">
            <v>630000</v>
          </cell>
          <cell r="G1016" t="str">
            <v>1</v>
          </cell>
          <cell r="H1016" t="str">
            <v>Expense</v>
          </cell>
          <cell r="I1016" t="str">
            <v>Profit and Loss</v>
          </cell>
          <cell r="J1016" t="str">
            <v>XAF</v>
          </cell>
          <cell r="K1016" t="str">
            <v>Services extérieurs</v>
          </cell>
        </row>
        <row r="1017">
          <cell r="A1017" t="str">
            <v>A1016</v>
          </cell>
          <cell r="B1017" t="str">
            <v>"631000 - Frais bancaires - OHADA"</v>
          </cell>
          <cell r="C1017" t="str">
            <v>Frais bancaires</v>
          </cell>
          <cell r="D1017" t="str">
            <v>OHADA</v>
          </cell>
          <cell r="E1017" t="str">
            <v>630000 - Autres services extérieurs - OHADA</v>
          </cell>
          <cell r="F1017">
            <v>631000</v>
          </cell>
          <cell r="G1017" t="str">
            <v>1</v>
          </cell>
          <cell r="H1017" t="str">
            <v>Expense</v>
          </cell>
          <cell r="I1017" t="str">
            <v>Profit and Loss</v>
          </cell>
          <cell r="J1017" t="str">
            <v>XAF</v>
          </cell>
          <cell r="K1017" t="str">
            <v>Services extérieurs</v>
          </cell>
        </row>
        <row r="1018">
          <cell r="A1018" t="str">
            <v>A1017</v>
          </cell>
          <cell r="B1018" t="str">
            <v>"631100 - Frais sur titres (vente, garde) - OHADA"</v>
          </cell>
          <cell r="C1018" t="str">
            <v>Frais sur titres (vente, garde)</v>
          </cell>
          <cell r="D1018" t="str">
            <v>OHADA</v>
          </cell>
          <cell r="E1018" t="str">
            <v>631000 - Frais bancaires - OHADA</v>
          </cell>
          <cell r="F1018">
            <v>631100</v>
          </cell>
          <cell r="G1018" t="str">
            <v>0</v>
          </cell>
          <cell r="H1018" t="str">
            <v>Expense</v>
          </cell>
          <cell r="I1018" t="str">
            <v>Profit and Loss</v>
          </cell>
          <cell r="J1018" t="str">
            <v>XAF</v>
          </cell>
          <cell r="K1018" t="str">
            <v>Services extérieurs</v>
          </cell>
        </row>
        <row r="1019">
          <cell r="A1019" t="str">
            <v>A1018</v>
          </cell>
          <cell r="B1019" t="str">
            <v>"631200 - Frais sur effets - OHADA"</v>
          </cell>
          <cell r="C1019" t="str">
            <v>Frais sur effets</v>
          </cell>
          <cell r="D1019" t="str">
            <v>OHADA</v>
          </cell>
          <cell r="E1019" t="str">
            <v>631000 - Frais bancaires - OHADA</v>
          </cell>
          <cell r="F1019">
            <v>631200</v>
          </cell>
          <cell r="G1019" t="str">
            <v>0</v>
          </cell>
          <cell r="H1019" t="str">
            <v>Expense</v>
          </cell>
          <cell r="I1019" t="str">
            <v>Profit and Loss</v>
          </cell>
          <cell r="J1019" t="str">
            <v>XAF</v>
          </cell>
          <cell r="K1019" t="str">
            <v>Services extérieurs</v>
          </cell>
        </row>
        <row r="1020">
          <cell r="A1020" t="str">
            <v>A1019</v>
          </cell>
          <cell r="B1020" t="str">
            <v>"631300 - Location de coffres - OHADA"</v>
          </cell>
          <cell r="C1020" t="str">
            <v>Location de coffres</v>
          </cell>
          <cell r="D1020" t="str">
            <v>OHADA</v>
          </cell>
          <cell r="E1020" t="str">
            <v>631000 - Frais bancaires - OHADA</v>
          </cell>
          <cell r="F1020">
            <v>631300</v>
          </cell>
          <cell r="G1020" t="str">
            <v>0</v>
          </cell>
          <cell r="H1020" t="str">
            <v>Expense</v>
          </cell>
          <cell r="I1020" t="str">
            <v>Profit and Loss</v>
          </cell>
          <cell r="J1020" t="str">
            <v>XAF</v>
          </cell>
          <cell r="K1020" t="str">
            <v>Services extérieurs</v>
          </cell>
        </row>
        <row r="1021">
          <cell r="A1021" t="str">
            <v>A1020</v>
          </cell>
          <cell r="B1021" t="str">
            <v>"631400 - Commissions d’affacturage - OHADA"</v>
          </cell>
          <cell r="C1021" t="str">
            <v>Commissions d’affacturage</v>
          </cell>
          <cell r="D1021" t="str">
            <v>OHADA</v>
          </cell>
          <cell r="E1021" t="str">
            <v>631000 - Frais bancaires - OHADA</v>
          </cell>
          <cell r="F1021">
            <v>631400</v>
          </cell>
          <cell r="G1021" t="str">
            <v>0</v>
          </cell>
          <cell r="H1021" t="str">
            <v>Expense</v>
          </cell>
          <cell r="I1021" t="str">
            <v>Profit and Loss</v>
          </cell>
          <cell r="J1021" t="str">
            <v>XAF</v>
          </cell>
          <cell r="K1021" t="str">
            <v>Services extérieurs</v>
          </cell>
        </row>
        <row r="1022">
          <cell r="A1022" t="str">
            <v>A1021</v>
          </cell>
          <cell r="B1022" t="str">
            <v>"631500 - Commissions sur cartes de crédit - OHADA"</v>
          </cell>
          <cell r="C1022" t="str">
            <v>Commissions sur cartes de crédit</v>
          </cell>
          <cell r="D1022" t="str">
            <v>OHADA</v>
          </cell>
          <cell r="E1022" t="str">
            <v>631000 - Frais bancaires - OHADA</v>
          </cell>
          <cell r="F1022">
            <v>631500</v>
          </cell>
          <cell r="G1022" t="str">
            <v>0</v>
          </cell>
          <cell r="H1022" t="str">
            <v>Expense</v>
          </cell>
          <cell r="I1022" t="str">
            <v>Profit and Loss</v>
          </cell>
          <cell r="J1022" t="str">
            <v>XAF</v>
          </cell>
          <cell r="K1022" t="str">
            <v>Services extérieurs</v>
          </cell>
        </row>
        <row r="1023">
          <cell r="A1023" t="str">
            <v>A1022</v>
          </cell>
          <cell r="B1023" t="str">
            <v>"631600 - Frais d’émission d’emprunts - OHADA"</v>
          </cell>
          <cell r="C1023" t="str">
            <v>Frais d’émission d’emprunts</v>
          </cell>
          <cell r="D1023" t="str">
            <v>OHADA</v>
          </cell>
          <cell r="E1023" t="str">
            <v>631000 - Frais bancaires - OHADA</v>
          </cell>
          <cell r="F1023">
            <v>631600</v>
          </cell>
          <cell r="G1023" t="str">
            <v>0</v>
          </cell>
          <cell r="H1023" t="str">
            <v>Expense</v>
          </cell>
          <cell r="I1023" t="str">
            <v>Profit and Loss</v>
          </cell>
          <cell r="J1023" t="str">
            <v>XAF</v>
          </cell>
          <cell r="K1023" t="str">
            <v>Services extérieurs</v>
          </cell>
        </row>
        <row r="1024">
          <cell r="A1024" t="str">
            <v>A1023</v>
          </cell>
          <cell r="B1024" t="str">
            <v>"631700 - Frais sur instruments monnaie électronique - OHADA"</v>
          </cell>
          <cell r="C1024" t="str">
            <v>Frais sur instruments monnaie électronique</v>
          </cell>
          <cell r="D1024" t="str">
            <v>OHADA</v>
          </cell>
          <cell r="E1024" t="str">
            <v>631000 - Frais bancaires - OHADA</v>
          </cell>
          <cell r="F1024">
            <v>631700</v>
          </cell>
          <cell r="G1024" t="str">
            <v>0</v>
          </cell>
          <cell r="H1024" t="str">
            <v>Expense</v>
          </cell>
          <cell r="I1024" t="str">
            <v>Profit and Loss</v>
          </cell>
          <cell r="J1024" t="str">
            <v>XAF</v>
          </cell>
          <cell r="K1024" t="str">
            <v>Services extérieurs</v>
          </cell>
        </row>
        <row r="1025">
          <cell r="A1025" t="str">
            <v>A1024</v>
          </cell>
          <cell r="B1025" t="str">
            <v>"631800 - Autres frais bancaires - OHADA"</v>
          </cell>
          <cell r="C1025" t="str">
            <v>Autres frais bancaires</v>
          </cell>
          <cell r="D1025" t="str">
            <v>OHADA</v>
          </cell>
          <cell r="E1025" t="str">
            <v>631000 - Frais bancaires - OHADA</v>
          </cell>
          <cell r="F1025">
            <v>631800</v>
          </cell>
          <cell r="G1025" t="str">
            <v>0</v>
          </cell>
          <cell r="H1025" t="str">
            <v>Expense</v>
          </cell>
          <cell r="I1025" t="str">
            <v>Profit and Loss</v>
          </cell>
          <cell r="J1025" t="str">
            <v>XAF</v>
          </cell>
          <cell r="K1025" t="str">
            <v>Services extérieurs</v>
          </cell>
        </row>
        <row r="1026">
          <cell r="A1026" t="str">
            <v>A1025</v>
          </cell>
          <cell r="B1026" t="str">
            <v>"632000 - Rémunérations d’intermédiaires et de conseils - OHADA"</v>
          </cell>
          <cell r="C1026" t="str">
            <v>Rémunérations d’intermédiaires et de conseils</v>
          </cell>
          <cell r="D1026" t="str">
            <v>OHADA</v>
          </cell>
          <cell r="E1026" t="str">
            <v>630000 - Autres services extérieurs - OHADA</v>
          </cell>
          <cell r="F1026">
            <v>632000</v>
          </cell>
          <cell r="G1026" t="str">
            <v>1</v>
          </cell>
          <cell r="H1026" t="str">
            <v>Expense</v>
          </cell>
          <cell r="I1026" t="str">
            <v>Profit and Loss</v>
          </cell>
          <cell r="J1026" t="str">
            <v>XAF</v>
          </cell>
          <cell r="K1026" t="str">
            <v>Services extérieurs</v>
          </cell>
        </row>
        <row r="1027">
          <cell r="A1027" t="str">
            <v>A1026</v>
          </cell>
          <cell r="B1027" t="str">
            <v>"632200 - Commissions et courtages sur ventes - OHADA"</v>
          </cell>
          <cell r="C1027" t="str">
            <v>Commissions et courtages sur ventes</v>
          </cell>
          <cell r="D1027" t="str">
            <v>OHADA</v>
          </cell>
          <cell r="E1027" t="str">
            <v>632000 - Rémunérations d’intermédiaires et de conseils - OHADA</v>
          </cell>
          <cell r="F1027">
            <v>632200</v>
          </cell>
          <cell r="G1027" t="str">
            <v>0</v>
          </cell>
          <cell r="H1027" t="str">
            <v>Expense</v>
          </cell>
          <cell r="I1027" t="str">
            <v>Profit and Loss</v>
          </cell>
          <cell r="J1027" t="str">
            <v>XAF</v>
          </cell>
          <cell r="K1027" t="str">
            <v>Services extérieurs</v>
          </cell>
        </row>
        <row r="1028">
          <cell r="A1028" t="str">
            <v>A1027</v>
          </cell>
          <cell r="B1028" t="str">
            <v>"632400 - Honoraires des professions réglementées - OHADA"</v>
          </cell>
          <cell r="C1028" t="str">
            <v>Honoraires des professions réglementées</v>
          </cell>
          <cell r="D1028" t="str">
            <v>OHADA</v>
          </cell>
          <cell r="E1028" t="str">
            <v>632000 - Rémunérations d’intermédiaires et de conseils - OHADA</v>
          </cell>
          <cell r="F1028">
            <v>632400</v>
          </cell>
          <cell r="G1028" t="str">
            <v>0</v>
          </cell>
          <cell r="H1028" t="str">
            <v>Expense</v>
          </cell>
          <cell r="I1028" t="str">
            <v>Profit and Loss</v>
          </cell>
          <cell r="J1028" t="str">
            <v>XAF</v>
          </cell>
          <cell r="K1028" t="str">
            <v>Services extérieurs</v>
          </cell>
        </row>
        <row r="1029">
          <cell r="A1029" t="str">
            <v>A1028</v>
          </cell>
          <cell r="B1029" t="str">
            <v>"632500 - Frais d’actes et de contentieux - OHADA"</v>
          </cell>
          <cell r="C1029" t="str">
            <v>Frais d’actes et de contentieux</v>
          </cell>
          <cell r="D1029" t="str">
            <v>OHADA</v>
          </cell>
          <cell r="E1029" t="str">
            <v>632000 - Rémunérations d’intermédiaires et de conseils - OHADA</v>
          </cell>
          <cell r="F1029">
            <v>632500</v>
          </cell>
          <cell r="G1029" t="str">
            <v>0</v>
          </cell>
          <cell r="H1029" t="str">
            <v>Expense</v>
          </cell>
          <cell r="I1029" t="str">
            <v>Profit and Loss</v>
          </cell>
          <cell r="J1029" t="str">
            <v>XAF</v>
          </cell>
          <cell r="K1029" t="str">
            <v>Services extérieurs</v>
          </cell>
        </row>
        <row r="1030">
          <cell r="A1030" t="str">
            <v>A1029</v>
          </cell>
          <cell r="B1030" t="str">
            <v>"632600 - Rémunérations d’affacturage - OHADA"</v>
          </cell>
          <cell r="C1030" t="str">
            <v>Rémunérations d’affacturage</v>
          </cell>
          <cell r="D1030" t="str">
            <v>OHADA</v>
          </cell>
          <cell r="E1030" t="str">
            <v>632000 - Rémunérations d’intermédiaires et de conseils - OHADA</v>
          </cell>
          <cell r="F1030">
            <v>632600</v>
          </cell>
          <cell r="G1030" t="str">
            <v>0</v>
          </cell>
          <cell r="H1030" t="str">
            <v>Expense</v>
          </cell>
          <cell r="I1030" t="str">
            <v>Profit and Loss</v>
          </cell>
          <cell r="J1030" t="str">
            <v>XAF</v>
          </cell>
          <cell r="K1030" t="str">
            <v>Services extérieurs</v>
          </cell>
        </row>
        <row r="1031">
          <cell r="A1031" t="str">
            <v>A1030</v>
          </cell>
          <cell r="B1031" t="str">
            <v>"632700 - Rémunérations des autres prestataires de services - OHADA"</v>
          </cell>
          <cell r="C1031" t="str">
            <v>Rémunérations des autres prestataires de services</v>
          </cell>
          <cell r="D1031" t="str">
            <v>OHADA</v>
          </cell>
          <cell r="E1031" t="str">
            <v>632000 - Rémunérations d’intermédiaires et de conseils - OHADA</v>
          </cell>
          <cell r="F1031">
            <v>632700</v>
          </cell>
          <cell r="G1031" t="str">
            <v>0</v>
          </cell>
          <cell r="H1031" t="str">
            <v>Expense</v>
          </cell>
          <cell r="I1031" t="str">
            <v>Profit and Loss</v>
          </cell>
          <cell r="J1031" t="str">
            <v>XAF</v>
          </cell>
          <cell r="K1031" t="str">
            <v>Services extérieurs</v>
          </cell>
        </row>
        <row r="1032">
          <cell r="A1032" t="str">
            <v>A1031</v>
          </cell>
          <cell r="B1032" t="str">
            <v>"632800 - Divers frais - OHADA"</v>
          </cell>
          <cell r="C1032" t="str">
            <v>Divers frais</v>
          </cell>
          <cell r="D1032" t="str">
            <v>OHADA</v>
          </cell>
          <cell r="E1032" t="str">
            <v>632000 - Rémunérations d’intermédiaires et de conseils - OHADA</v>
          </cell>
          <cell r="F1032">
            <v>632800</v>
          </cell>
          <cell r="G1032" t="str">
            <v>0</v>
          </cell>
          <cell r="H1032" t="str">
            <v>Expense</v>
          </cell>
          <cell r="I1032" t="str">
            <v>Profit and Loss</v>
          </cell>
          <cell r="J1032" t="str">
            <v>XAF</v>
          </cell>
          <cell r="K1032" t="str">
            <v>Services extérieurs</v>
          </cell>
        </row>
        <row r="1033">
          <cell r="A1033" t="str">
            <v>A1032</v>
          </cell>
          <cell r="B1033" t="str">
            <v>"633000 - Frais de formation du personnel - OHADA"</v>
          </cell>
          <cell r="C1033" t="str">
            <v>Frais de formation du personnel</v>
          </cell>
          <cell r="D1033" t="str">
            <v>OHADA</v>
          </cell>
          <cell r="E1033" t="str">
            <v>630000 - Autres services extérieurs - OHADA</v>
          </cell>
          <cell r="F1033">
            <v>633000</v>
          </cell>
          <cell r="G1033" t="str">
            <v>0</v>
          </cell>
          <cell r="H1033" t="str">
            <v>Expense</v>
          </cell>
          <cell r="I1033" t="str">
            <v>Profit and Loss</v>
          </cell>
          <cell r="J1033" t="str">
            <v>XAF</v>
          </cell>
          <cell r="K1033" t="str">
            <v>Services extérieurs</v>
          </cell>
        </row>
        <row r="1034">
          <cell r="A1034" t="str">
            <v>A1033</v>
          </cell>
          <cell r="B1034" t="str">
            <v>"634000 - Redevances pour brevets, licences, logiciels, concessions et droits et valeurs similaires - OHADA"</v>
          </cell>
          <cell r="C1034" t="str">
            <v>Redevances pour brevets, licences, logiciels, concessions et droits et valeurs similaires</v>
          </cell>
          <cell r="D1034" t="str">
            <v>OHADA</v>
          </cell>
          <cell r="E1034" t="str">
            <v>630000 - Autres services extérieurs - OHADA</v>
          </cell>
          <cell r="F1034">
            <v>634000</v>
          </cell>
          <cell r="G1034" t="str">
            <v>1</v>
          </cell>
          <cell r="H1034" t="str">
            <v>Expense</v>
          </cell>
          <cell r="I1034" t="str">
            <v>Profit and Loss</v>
          </cell>
          <cell r="J1034" t="str">
            <v>XAF</v>
          </cell>
          <cell r="K1034" t="str">
            <v>Services extérieurs</v>
          </cell>
        </row>
        <row r="1035">
          <cell r="A1035" t="str">
            <v>A1034</v>
          </cell>
          <cell r="B1035" t="str">
            <v>"634200 - Redevances pour brevets, licences - OHADA"</v>
          </cell>
          <cell r="C1035" t="str">
            <v>Redevances pour brevets, licences</v>
          </cell>
          <cell r="D1035" t="str">
            <v>OHADA</v>
          </cell>
          <cell r="E1035" t="str">
            <v>634000 - Redevances pour brevets, licences, logiciels, concessions et droits et valeurs similaires - OHADA</v>
          </cell>
          <cell r="F1035">
            <v>634200</v>
          </cell>
          <cell r="G1035" t="str">
            <v>0</v>
          </cell>
          <cell r="H1035" t="str">
            <v>Expense</v>
          </cell>
          <cell r="I1035" t="str">
            <v>Profit and Loss</v>
          </cell>
          <cell r="J1035" t="str">
            <v>XAF</v>
          </cell>
          <cell r="K1035" t="str">
            <v>Services extérieurs</v>
          </cell>
        </row>
        <row r="1036">
          <cell r="A1036" t="str">
            <v>A1035</v>
          </cell>
          <cell r="B1036" t="str">
            <v>"634300 - Redevances pour logiciels - OHADA"</v>
          </cell>
          <cell r="C1036" t="str">
            <v>Redevances pour logiciels</v>
          </cell>
          <cell r="D1036" t="str">
            <v>OHADA</v>
          </cell>
          <cell r="E1036" t="str">
            <v>634000 - Redevances pour brevets, licences, logiciels, concessions et droits et valeurs similaires - OHADA</v>
          </cell>
          <cell r="F1036">
            <v>634300</v>
          </cell>
          <cell r="G1036" t="str">
            <v>0</v>
          </cell>
          <cell r="H1036" t="str">
            <v>Expense</v>
          </cell>
          <cell r="I1036" t="str">
            <v>Profit and Loss</v>
          </cell>
          <cell r="J1036" t="str">
            <v>XAF</v>
          </cell>
          <cell r="K1036" t="str">
            <v>Services extérieurs</v>
          </cell>
        </row>
        <row r="1037">
          <cell r="A1037" t="str">
            <v>A1036</v>
          </cell>
          <cell r="B1037" t="str">
            <v>"634400 - Redevances pour marques - OHADA"</v>
          </cell>
          <cell r="C1037" t="str">
            <v>Redevances pour marques</v>
          </cell>
          <cell r="D1037" t="str">
            <v>OHADA</v>
          </cell>
          <cell r="E1037" t="str">
            <v>634000 - Redevances pour brevets, licences, logiciels, concessions et droits et valeurs similaires - OHADA</v>
          </cell>
          <cell r="F1037">
            <v>634400</v>
          </cell>
          <cell r="G1037" t="str">
            <v>0</v>
          </cell>
          <cell r="H1037" t="str">
            <v>Expense</v>
          </cell>
          <cell r="I1037" t="str">
            <v>Profit and Loss</v>
          </cell>
          <cell r="J1037" t="str">
            <v>XAF</v>
          </cell>
          <cell r="K1037" t="str">
            <v>Services extérieurs</v>
          </cell>
        </row>
        <row r="1038">
          <cell r="A1038" t="str">
            <v>A1037</v>
          </cell>
          <cell r="B1038" t="str">
            <v>"634500 - Redevances pour sites internet - OHADA"</v>
          </cell>
          <cell r="C1038" t="str">
            <v>Redevances pour sites internet</v>
          </cell>
          <cell r="D1038" t="str">
            <v>OHADA</v>
          </cell>
          <cell r="E1038" t="str">
            <v>634000 - Redevances pour brevets, licences, logiciels, concessions et droits et valeurs similaires - OHADA</v>
          </cell>
          <cell r="F1038">
            <v>634500</v>
          </cell>
          <cell r="G1038" t="str">
            <v>0</v>
          </cell>
          <cell r="H1038" t="str">
            <v>Expense</v>
          </cell>
          <cell r="I1038" t="str">
            <v>Profit and Loss</v>
          </cell>
          <cell r="J1038" t="str">
            <v>XAF</v>
          </cell>
          <cell r="K1038" t="str">
            <v>Services extérieurs</v>
          </cell>
        </row>
        <row r="1039">
          <cell r="A1039" t="str">
            <v>A1038</v>
          </cell>
          <cell r="B1039" t="str">
            <v>"634600 - Redevances pour concessions, droits et valeurs similaires - OHADA"</v>
          </cell>
          <cell r="C1039" t="str">
            <v>Redevances pour concessions, droits et valeurs similaires</v>
          </cell>
          <cell r="D1039" t="str">
            <v>OHADA</v>
          </cell>
          <cell r="E1039" t="str">
            <v>634000 - Redevances pour brevets, licences, logiciels, concessions et droits et valeurs similaires - OHADA</v>
          </cell>
          <cell r="F1039">
            <v>634600</v>
          </cell>
          <cell r="G1039" t="str">
            <v>0</v>
          </cell>
          <cell r="H1039" t="str">
            <v>Expense</v>
          </cell>
          <cell r="I1039" t="str">
            <v>Profit and Loss</v>
          </cell>
          <cell r="J1039" t="str">
            <v>XAF</v>
          </cell>
          <cell r="K1039" t="str">
            <v>Services extérieurs</v>
          </cell>
        </row>
        <row r="1040">
          <cell r="A1040" t="str">
            <v>A1039</v>
          </cell>
          <cell r="B1040" t="str">
            <v>"635000 - Cotisations - OHADA"</v>
          </cell>
          <cell r="C1040" t="str">
            <v>Cotisations</v>
          </cell>
          <cell r="D1040" t="str">
            <v>OHADA</v>
          </cell>
          <cell r="E1040" t="str">
            <v>630000 - Autres services extérieurs - OHADA</v>
          </cell>
          <cell r="F1040">
            <v>635000</v>
          </cell>
          <cell r="G1040" t="str">
            <v>1</v>
          </cell>
          <cell r="H1040" t="str">
            <v>Expense</v>
          </cell>
          <cell r="I1040" t="str">
            <v>Profit and Loss</v>
          </cell>
          <cell r="J1040" t="str">
            <v>XAF</v>
          </cell>
          <cell r="K1040" t="str">
            <v>Services extérieurs</v>
          </cell>
        </row>
        <row r="1041">
          <cell r="A1041" t="str">
            <v>A1040</v>
          </cell>
          <cell r="B1041" t="str">
            <v>"635100 - Cotisations - OHADA"</v>
          </cell>
          <cell r="C1041" t="str">
            <v>Cotisations</v>
          </cell>
          <cell r="D1041" t="str">
            <v>OHADA</v>
          </cell>
          <cell r="E1041" t="str">
            <v>635000 - Cotisations - OHADA</v>
          </cell>
          <cell r="F1041">
            <v>635100</v>
          </cell>
          <cell r="G1041" t="str">
            <v>0</v>
          </cell>
          <cell r="H1041" t="str">
            <v>Expense</v>
          </cell>
          <cell r="I1041" t="str">
            <v>Profit and Loss</v>
          </cell>
          <cell r="J1041" t="str">
            <v>XAF</v>
          </cell>
          <cell r="K1041" t="str">
            <v>Services extérieurs</v>
          </cell>
        </row>
        <row r="1042">
          <cell r="A1042" t="str">
            <v>A1041</v>
          </cell>
          <cell r="B1042" t="str">
            <v>"635800 - Concours divers - OHADA"</v>
          </cell>
          <cell r="C1042" t="str">
            <v>Concours divers</v>
          </cell>
          <cell r="D1042" t="str">
            <v>OHADA</v>
          </cell>
          <cell r="E1042" t="str">
            <v>635000 - Cotisations - OHADA</v>
          </cell>
          <cell r="F1042">
            <v>635800</v>
          </cell>
          <cell r="G1042" t="str">
            <v>0</v>
          </cell>
          <cell r="H1042" t="str">
            <v>Expense</v>
          </cell>
          <cell r="I1042" t="str">
            <v>Profit and Loss</v>
          </cell>
          <cell r="J1042" t="str">
            <v>XAF</v>
          </cell>
          <cell r="K1042" t="str">
            <v>Services extérieurs</v>
          </cell>
        </row>
        <row r="1043">
          <cell r="A1043" t="str">
            <v>A1042</v>
          </cell>
          <cell r="B1043" t="str">
            <v>"637000 - Rémunérations de personnel extérieur à l’entité - OHADA"</v>
          </cell>
          <cell r="C1043" t="str">
            <v>Rémunérations de personnel extérieur à l’entité</v>
          </cell>
          <cell r="D1043" t="str">
            <v>OHADA</v>
          </cell>
          <cell r="E1043" t="str">
            <v>630000 - Autres services extérieurs - OHADA</v>
          </cell>
          <cell r="F1043">
            <v>637000</v>
          </cell>
          <cell r="G1043" t="str">
            <v>1</v>
          </cell>
          <cell r="H1043" t="str">
            <v>Expense</v>
          </cell>
          <cell r="I1043" t="str">
            <v>Profit and Loss</v>
          </cell>
          <cell r="J1043" t="str">
            <v>XAF</v>
          </cell>
          <cell r="K1043" t="str">
            <v>Services extérieurs</v>
          </cell>
        </row>
        <row r="1044">
          <cell r="A1044" t="str">
            <v>A1043</v>
          </cell>
          <cell r="B1044" t="str">
            <v>"637100 - Personnel intérimaire - OHADA"</v>
          </cell>
          <cell r="C1044" t="str">
            <v>Personnel intérimaire</v>
          </cell>
          <cell r="D1044" t="str">
            <v>OHADA</v>
          </cell>
          <cell r="E1044" t="str">
            <v>637000 - Rémunérations de personnel extérieur à l’entité - OHADA</v>
          </cell>
          <cell r="F1044">
            <v>637100</v>
          </cell>
          <cell r="G1044" t="str">
            <v>0</v>
          </cell>
          <cell r="H1044" t="str">
            <v>Expense</v>
          </cell>
          <cell r="I1044" t="str">
            <v>Profit and Loss</v>
          </cell>
          <cell r="J1044" t="str">
            <v>XAF</v>
          </cell>
          <cell r="K1044" t="str">
            <v>Services extérieurs</v>
          </cell>
        </row>
        <row r="1045">
          <cell r="A1045" t="str">
            <v>A1044</v>
          </cell>
          <cell r="B1045" t="str">
            <v>"637200 - Personnel détaché ou prêté à l’entité - OHADA"</v>
          </cell>
          <cell r="C1045" t="str">
            <v>Personnel détaché ou prêté à l’entité</v>
          </cell>
          <cell r="D1045" t="str">
            <v>OHADA</v>
          </cell>
          <cell r="E1045" t="str">
            <v>637000 - Rémunérations de personnel extérieur à l’entité - OHADA</v>
          </cell>
          <cell r="F1045">
            <v>637200</v>
          </cell>
          <cell r="G1045" t="str">
            <v>0</v>
          </cell>
          <cell r="H1045" t="str">
            <v>Expense</v>
          </cell>
          <cell r="I1045" t="str">
            <v>Profit and Loss</v>
          </cell>
          <cell r="J1045" t="str">
            <v>XAF</v>
          </cell>
          <cell r="K1045" t="str">
            <v>Services extérieurs</v>
          </cell>
        </row>
        <row r="1046">
          <cell r="A1046" t="str">
            <v>A1045</v>
          </cell>
          <cell r="B1046" t="str">
            <v>"638000 - Autres charges externes - OHADA"</v>
          </cell>
          <cell r="C1046" t="str">
            <v>Autres charges externes</v>
          </cell>
          <cell r="D1046" t="str">
            <v>OHADA</v>
          </cell>
          <cell r="E1046" t="str">
            <v>630000 - Autres services extérieurs - OHADA</v>
          </cell>
          <cell r="F1046">
            <v>638000</v>
          </cell>
          <cell r="G1046" t="str">
            <v>1</v>
          </cell>
          <cell r="H1046" t="str">
            <v>Expense</v>
          </cell>
          <cell r="I1046" t="str">
            <v>Profit and Loss</v>
          </cell>
          <cell r="J1046" t="str">
            <v>XAF</v>
          </cell>
          <cell r="K1046" t="str">
            <v>Services extérieurs</v>
          </cell>
        </row>
        <row r="1047">
          <cell r="A1047" t="str">
            <v>A1046</v>
          </cell>
          <cell r="B1047" t="str">
            <v>"638100 - Frais de recrutement du personnel - OHADA"</v>
          </cell>
          <cell r="C1047" t="str">
            <v>Frais de recrutement du personnel</v>
          </cell>
          <cell r="D1047" t="str">
            <v>OHADA</v>
          </cell>
          <cell r="E1047" t="str">
            <v>638000 - Autres charges externes - OHADA</v>
          </cell>
          <cell r="F1047">
            <v>638100</v>
          </cell>
          <cell r="G1047" t="str">
            <v>0</v>
          </cell>
          <cell r="H1047" t="str">
            <v>Expense</v>
          </cell>
          <cell r="I1047" t="str">
            <v>Profit and Loss</v>
          </cell>
          <cell r="J1047" t="str">
            <v>XAF</v>
          </cell>
          <cell r="K1047" t="str">
            <v>Services extérieurs</v>
          </cell>
        </row>
        <row r="1048">
          <cell r="A1048" t="str">
            <v>A1047</v>
          </cell>
          <cell r="B1048" t="str">
            <v>"638200 - Frais de déménagement - OHADA"</v>
          </cell>
          <cell r="C1048" t="str">
            <v>Frais de déménagement</v>
          </cell>
          <cell r="D1048" t="str">
            <v>OHADA</v>
          </cell>
          <cell r="E1048" t="str">
            <v>638000 - Autres charges externes - OHADA</v>
          </cell>
          <cell r="F1048">
            <v>638200</v>
          </cell>
          <cell r="G1048" t="str">
            <v>0</v>
          </cell>
          <cell r="H1048" t="str">
            <v>Expense</v>
          </cell>
          <cell r="I1048" t="str">
            <v>Profit and Loss</v>
          </cell>
          <cell r="J1048" t="str">
            <v>XAF</v>
          </cell>
          <cell r="K1048" t="str">
            <v>Services extérieurs</v>
          </cell>
        </row>
        <row r="1049">
          <cell r="A1049" t="str">
            <v>A1048</v>
          </cell>
          <cell r="B1049" t="str">
            <v>"638300 - Réceptions - OHADA"</v>
          </cell>
          <cell r="C1049" t="str">
            <v>Réceptions</v>
          </cell>
          <cell r="D1049" t="str">
            <v>OHADA</v>
          </cell>
          <cell r="E1049" t="str">
            <v>638000 - Autres charges externes - OHADA</v>
          </cell>
          <cell r="F1049">
            <v>638300</v>
          </cell>
          <cell r="G1049" t="str">
            <v>0</v>
          </cell>
          <cell r="H1049" t="str">
            <v>Expense</v>
          </cell>
          <cell r="I1049" t="str">
            <v>Profit and Loss</v>
          </cell>
          <cell r="J1049" t="str">
            <v>XAF</v>
          </cell>
          <cell r="K1049" t="str">
            <v>Services extérieurs</v>
          </cell>
        </row>
        <row r="1050">
          <cell r="A1050" t="str">
            <v>A1049</v>
          </cell>
          <cell r="B1050" t="str">
            <v>"638400 - Missions - OHADA"</v>
          </cell>
          <cell r="C1050" t="str">
            <v>Missions</v>
          </cell>
          <cell r="D1050" t="str">
            <v>OHADA</v>
          </cell>
          <cell r="E1050" t="str">
            <v>638000 - Autres charges externes - OHADA</v>
          </cell>
          <cell r="F1050">
            <v>638400</v>
          </cell>
          <cell r="G1050" t="str">
            <v>0</v>
          </cell>
          <cell r="H1050" t="str">
            <v>Expense</v>
          </cell>
          <cell r="I1050" t="str">
            <v>Profit and Loss</v>
          </cell>
          <cell r="J1050" t="str">
            <v>XAF</v>
          </cell>
          <cell r="K1050" t="str">
            <v>Services extérieurs</v>
          </cell>
        </row>
        <row r="1051">
          <cell r="A1051" t="str">
            <v>A1050</v>
          </cell>
          <cell r="B1051" t="str">
            <v>"638500 - Charges de copropriété - OHADA"</v>
          </cell>
          <cell r="C1051" t="str">
            <v>Charges de copropriété</v>
          </cell>
          <cell r="D1051" t="str">
            <v>OHADA</v>
          </cell>
          <cell r="E1051" t="str">
            <v>638000 - Autres charges externes - OHADA</v>
          </cell>
          <cell r="F1051">
            <v>638500</v>
          </cell>
          <cell r="G1051" t="str">
            <v>0</v>
          </cell>
          <cell r="H1051" t="str">
            <v>Expense</v>
          </cell>
          <cell r="I1051" t="str">
            <v>Profit and Loss</v>
          </cell>
          <cell r="J1051" t="str">
            <v>XAF</v>
          </cell>
          <cell r="K1051" t="str">
            <v>Services extérieurs</v>
          </cell>
        </row>
        <row r="1052">
          <cell r="A1052" t="str">
            <v>A1051</v>
          </cell>
          <cell r="B1052" t="str">
            <v>"640000 - Impôts et taxes - OHADA"</v>
          </cell>
          <cell r="C1052" t="str">
            <v>Impôts et taxes</v>
          </cell>
          <cell r="D1052" t="str">
            <v>OHADA</v>
          </cell>
          <cell r="E1052" t="str">
            <v>6 - Comptes de charges des activités ordinaires - OHADA</v>
          </cell>
          <cell r="F1052">
            <v>640000</v>
          </cell>
          <cell r="G1052" t="str">
            <v>1</v>
          </cell>
          <cell r="H1052" t="str">
            <v>Expense</v>
          </cell>
          <cell r="I1052" t="str">
            <v>Profit and Loss</v>
          </cell>
          <cell r="J1052" t="str">
            <v>XAF</v>
          </cell>
          <cell r="K1052" t="str">
            <v>Impôts et taxes</v>
          </cell>
        </row>
        <row r="1053">
          <cell r="A1053" t="str">
            <v>A1052</v>
          </cell>
          <cell r="B1053" t="str">
            <v>"641000 - Impôts et taxes directs - OHADA"</v>
          </cell>
          <cell r="C1053" t="str">
            <v>Impôts et taxes directs</v>
          </cell>
          <cell r="D1053" t="str">
            <v>OHADA</v>
          </cell>
          <cell r="E1053" t="str">
            <v>640000 - Impôts et taxes - OHADA</v>
          </cell>
          <cell r="F1053">
            <v>641000</v>
          </cell>
          <cell r="G1053" t="str">
            <v>1</v>
          </cell>
          <cell r="H1053" t="str">
            <v>Expense</v>
          </cell>
          <cell r="I1053" t="str">
            <v>Profit and Loss</v>
          </cell>
          <cell r="J1053" t="str">
            <v>XAF</v>
          </cell>
          <cell r="K1053" t="str">
            <v>Impôts et taxes</v>
          </cell>
        </row>
        <row r="1054">
          <cell r="A1054" t="str">
            <v>A1053</v>
          </cell>
          <cell r="B1054" t="str">
            <v>"641100 - Impôts fonciers et taxes annexes - OHADA"</v>
          </cell>
          <cell r="C1054" t="str">
            <v>Impôts fonciers et taxes annexes</v>
          </cell>
          <cell r="D1054" t="str">
            <v>OHADA</v>
          </cell>
          <cell r="E1054" t="str">
            <v>641000 - Impôts et taxes directs - OHADA</v>
          </cell>
          <cell r="F1054">
            <v>641100</v>
          </cell>
          <cell r="G1054" t="str">
            <v>0</v>
          </cell>
          <cell r="H1054" t="str">
            <v>Expense</v>
          </cell>
          <cell r="I1054" t="str">
            <v>Profit and Loss</v>
          </cell>
          <cell r="J1054" t="str">
            <v>XAF</v>
          </cell>
          <cell r="K1054" t="str">
            <v>Impôts et taxes</v>
          </cell>
        </row>
        <row r="1055">
          <cell r="A1055" t="str">
            <v>A1054</v>
          </cell>
          <cell r="B1055" t="str">
            <v>"641200 - Patentes, licences et taxes annexes - OHADA"</v>
          </cell>
          <cell r="C1055" t="str">
            <v>Patentes, licences et taxes annexes</v>
          </cell>
          <cell r="D1055" t="str">
            <v>OHADA</v>
          </cell>
          <cell r="E1055" t="str">
            <v>641000 - Impôts et taxes directs - OHADA</v>
          </cell>
          <cell r="F1055">
            <v>641200</v>
          </cell>
          <cell r="G1055" t="str">
            <v>0</v>
          </cell>
          <cell r="H1055" t="str">
            <v>Expense</v>
          </cell>
          <cell r="I1055" t="str">
            <v>Profit and Loss</v>
          </cell>
          <cell r="J1055" t="str">
            <v>XAF</v>
          </cell>
          <cell r="K1055" t="str">
            <v>Impôts et taxes</v>
          </cell>
        </row>
        <row r="1056">
          <cell r="A1056" t="str">
            <v>A1055</v>
          </cell>
          <cell r="B1056" t="str">
            <v>"641300 - Taxes sur appointements et salaires - OHADA"</v>
          </cell>
          <cell r="C1056" t="str">
            <v>Taxes sur appointements et salaires</v>
          </cell>
          <cell r="D1056" t="str">
            <v>OHADA</v>
          </cell>
          <cell r="E1056" t="str">
            <v>641000 - Impôts et taxes directs - OHADA</v>
          </cell>
          <cell r="F1056">
            <v>641300</v>
          </cell>
          <cell r="G1056" t="str">
            <v>0</v>
          </cell>
          <cell r="H1056" t="str">
            <v>Expense</v>
          </cell>
          <cell r="I1056" t="str">
            <v>Profit and Loss</v>
          </cell>
          <cell r="J1056" t="str">
            <v>XAF</v>
          </cell>
          <cell r="K1056" t="str">
            <v>Impôts et taxes</v>
          </cell>
        </row>
        <row r="1057">
          <cell r="A1057" t="str">
            <v>A1056</v>
          </cell>
          <cell r="B1057" t="str">
            <v>"641400 - Taxes d’apprentissage - OHADA"</v>
          </cell>
          <cell r="C1057" t="str">
            <v>Taxes d’apprentissage</v>
          </cell>
          <cell r="D1057" t="str">
            <v>OHADA</v>
          </cell>
          <cell r="E1057" t="str">
            <v>641000 - Impôts et taxes directs - OHADA</v>
          </cell>
          <cell r="F1057">
            <v>641400</v>
          </cell>
          <cell r="G1057" t="str">
            <v>0</v>
          </cell>
          <cell r="H1057" t="str">
            <v>Expense</v>
          </cell>
          <cell r="I1057" t="str">
            <v>Profit and Loss</v>
          </cell>
          <cell r="J1057" t="str">
            <v>XAF</v>
          </cell>
          <cell r="K1057" t="str">
            <v>Impôts et taxes</v>
          </cell>
        </row>
        <row r="1058">
          <cell r="A1058" t="str">
            <v>A1057</v>
          </cell>
          <cell r="B1058" t="str">
            <v>"641500 - Formation professionnelle continue - OHADA"</v>
          </cell>
          <cell r="C1058" t="str">
            <v>Formation professionnelle continue</v>
          </cell>
          <cell r="D1058" t="str">
            <v>OHADA</v>
          </cell>
          <cell r="E1058" t="str">
            <v>641000 - Impôts et taxes directs - OHADA</v>
          </cell>
          <cell r="F1058">
            <v>641500</v>
          </cell>
          <cell r="G1058" t="str">
            <v>0</v>
          </cell>
          <cell r="H1058" t="str">
            <v>Expense</v>
          </cell>
          <cell r="I1058" t="str">
            <v>Profit and Loss</v>
          </cell>
          <cell r="J1058" t="str">
            <v>XAF</v>
          </cell>
          <cell r="K1058" t="str">
            <v>Impôts et taxes</v>
          </cell>
        </row>
        <row r="1059">
          <cell r="A1059" t="str">
            <v>A1058</v>
          </cell>
          <cell r="B1059" t="str">
            <v>"641800 - Autres impôts et taxes directs - OHADA"</v>
          </cell>
          <cell r="C1059" t="str">
            <v>Autres impôts et taxes directs</v>
          </cell>
          <cell r="D1059" t="str">
            <v>OHADA</v>
          </cell>
          <cell r="E1059" t="str">
            <v>641000 - Impôts et taxes directs - OHADA</v>
          </cell>
          <cell r="F1059">
            <v>641800</v>
          </cell>
          <cell r="G1059" t="str">
            <v>0</v>
          </cell>
          <cell r="H1059" t="str">
            <v>Expense</v>
          </cell>
          <cell r="I1059" t="str">
            <v>Profit and Loss</v>
          </cell>
          <cell r="J1059" t="str">
            <v>XAF</v>
          </cell>
          <cell r="K1059" t="str">
            <v>Impôts et taxes</v>
          </cell>
        </row>
        <row r="1060">
          <cell r="A1060" t="str">
            <v>A1059</v>
          </cell>
          <cell r="B1060" t="str">
            <v>"645000 - Impôts et taxes indirects - OHADA"</v>
          </cell>
          <cell r="C1060" t="str">
            <v>Impôts et taxes indirects</v>
          </cell>
          <cell r="D1060" t="str">
            <v>OHADA</v>
          </cell>
          <cell r="E1060" t="str">
            <v>640000 - Impôts et taxes - OHADA</v>
          </cell>
          <cell r="F1060">
            <v>645000</v>
          </cell>
          <cell r="G1060" t="str">
            <v>0</v>
          </cell>
          <cell r="H1060" t="str">
            <v>Expense</v>
          </cell>
          <cell r="I1060" t="str">
            <v>Profit and Loss</v>
          </cell>
          <cell r="J1060" t="str">
            <v>XAF</v>
          </cell>
          <cell r="K1060" t="str">
            <v>Impôts et taxes</v>
          </cell>
        </row>
        <row r="1061">
          <cell r="A1061" t="str">
            <v>A1060</v>
          </cell>
          <cell r="B1061" t="str">
            <v>"646000 - Droits d’enregistrement - OHADA"</v>
          </cell>
          <cell r="C1061" t="str">
            <v>Droits d’enregistrement</v>
          </cell>
          <cell r="D1061" t="str">
            <v>OHADA</v>
          </cell>
          <cell r="E1061" t="str">
            <v>640000 - Impôts et taxes - OHADA</v>
          </cell>
          <cell r="F1061">
            <v>646000</v>
          </cell>
          <cell r="G1061" t="str">
            <v>1</v>
          </cell>
          <cell r="H1061" t="str">
            <v>Expense</v>
          </cell>
          <cell r="I1061" t="str">
            <v>Profit and Loss</v>
          </cell>
          <cell r="J1061" t="str">
            <v>XAF</v>
          </cell>
          <cell r="K1061" t="str">
            <v>Impôts et taxes</v>
          </cell>
        </row>
        <row r="1062">
          <cell r="A1062" t="str">
            <v>A1061</v>
          </cell>
          <cell r="B1062" t="str">
            <v>"646100 - Droits de mutation - OHADA"</v>
          </cell>
          <cell r="C1062" t="str">
            <v>Droits de mutation</v>
          </cell>
          <cell r="D1062" t="str">
            <v>OHADA</v>
          </cell>
          <cell r="E1062" t="str">
            <v>646000 - Droits d’enregistrement - OHADA</v>
          </cell>
          <cell r="F1062">
            <v>646100</v>
          </cell>
          <cell r="G1062" t="str">
            <v>0</v>
          </cell>
          <cell r="H1062" t="str">
            <v>Expense</v>
          </cell>
          <cell r="I1062" t="str">
            <v>Profit and Loss</v>
          </cell>
          <cell r="J1062" t="str">
            <v>XAF</v>
          </cell>
          <cell r="K1062" t="str">
            <v>Impôts et taxes</v>
          </cell>
        </row>
        <row r="1063">
          <cell r="A1063" t="str">
            <v>A1062</v>
          </cell>
          <cell r="B1063" t="str">
            <v>"646200 - Droits de timbre - OHADA"</v>
          </cell>
          <cell r="C1063" t="str">
            <v>Droits de timbre</v>
          </cell>
          <cell r="D1063" t="str">
            <v>OHADA</v>
          </cell>
          <cell r="E1063" t="str">
            <v>646000 - Droits d’enregistrement - OHADA</v>
          </cell>
          <cell r="F1063">
            <v>646200</v>
          </cell>
          <cell r="G1063" t="str">
            <v>0</v>
          </cell>
          <cell r="H1063" t="str">
            <v>Expense</v>
          </cell>
          <cell r="I1063" t="str">
            <v>Profit and Loss</v>
          </cell>
          <cell r="J1063" t="str">
            <v>XAF</v>
          </cell>
          <cell r="K1063" t="str">
            <v>Impôts et taxes</v>
          </cell>
        </row>
        <row r="1064">
          <cell r="A1064" t="str">
            <v>A1063</v>
          </cell>
          <cell r="B1064" t="str">
            <v>"646300 - Taxes sur les véhicules de société - OHADA"</v>
          </cell>
          <cell r="C1064" t="str">
            <v>Taxes sur les véhicules de société</v>
          </cell>
          <cell r="D1064" t="str">
            <v>OHADA</v>
          </cell>
          <cell r="E1064" t="str">
            <v>646000 - Droits d’enregistrement - OHADA</v>
          </cell>
          <cell r="F1064">
            <v>646300</v>
          </cell>
          <cell r="G1064" t="str">
            <v>0</v>
          </cell>
          <cell r="H1064" t="str">
            <v>Expense</v>
          </cell>
          <cell r="I1064" t="str">
            <v>Profit and Loss</v>
          </cell>
          <cell r="J1064" t="str">
            <v>XAF</v>
          </cell>
          <cell r="K1064" t="str">
            <v>Impôts et taxes</v>
          </cell>
        </row>
        <row r="1065">
          <cell r="A1065" t="str">
            <v>A1064</v>
          </cell>
          <cell r="B1065" t="str">
            <v>"646400 - Vignettes - OHADA"</v>
          </cell>
          <cell r="C1065" t="str">
            <v>Vignettes</v>
          </cell>
          <cell r="D1065" t="str">
            <v>OHADA</v>
          </cell>
          <cell r="E1065" t="str">
            <v>646000 - Droits d’enregistrement - OHADA</v>
          </cell>
          <cell r="F1065">
            <v>646400</v>
          </cell>
          <cell r="G1065" t="str">
            <v>0</v>
          </cell>
          <cell r="H1065" t="str">
            <v>Expense</v>
          </cell>
          <cell r="I1065" t="str">
            <v>Profit and Loss</v>
          </cell>
          <cell r="J1065" t="str">
            <v>XAF</v>
          </cell>
          <cell r="K1065" t="str">
            <v>Impôts et taxes</v>
          </cell>
        </row>
        <row r="1066">
          <cell r="A1066" t="str">
            <v>A1065</v>
          </cell>
          <cell r="B1066" t="str">
            <v>"646800 - Autres droits - OHADA"</v>
          </cell>
          <cell r="C1066" t="str">
            <v>Autres droits</v>
          </cell>
          <cell r="D1066" t="str">
            <v>OHADA</v>
          </cell>
          <cell r="E1066" t="str">
            <v>646000 - Droits d’enregistrement - OHADA</v>
          </cell>
          <cell r="F1066">
            <v>646800</v>
          </cell>
          <cell r="G1066" t="str">
            <v>0</v>
          </cell>
          <cell r="H1066" t="str">
            <v>Expense</v>
          </cell>
          <cell r="I1066" t="str">
            <v>Profit and Loss</v>
          </cell>
          <cell r="J1066" t="str">
            <v>XAF</v>
          </cell>
          <cell r="K1066" t="str">
            <v>Impôts et taxes</v>
          </cell>
        </row>
        <row r="1067">
          <cell r="A1067" t="str">
            <v>A1066</v>
          </cell>
          <cell r="B1067" t="str">
            <v>"647000 - Pénalités, amendes fiscales - OHADA"</v>
          </cell>
          <cell r="C1067" t="str">
            <v>Pénalités, amendes fiscales</v>
          </cell>
          <cell r="D1067" t="str">
            <v>OHADA</v>
          </cell>
          <cell r="E1067" t="str">
            <v>640000 - Impôts et taxes - OHADA</v>
          </cell>
          <cell r="F1067">
            <v>647000</v>
          </cell>
          <cell r="G1067" t="str">
            <v>1</v>
          </cell>
          <cell r="H1067" t="str">
            <v>Expense</v>
          </cell>
          <cell r="I1067" t="str">
            <v>Profit and Loss</v>
          </cell>
          <cell r="J1067" t="str">
            <v>XAF</v>
          </cell>
          <cell r="K1067" t="str">
            <v>Impôts et taxes</v>
          </cell>
        </row>
        <row r="1068">
          <cell r="A1068" t="str">
            <v>A1067</v>
          </cell>
          <cell r="B1068" t="str">
            <v>"647100 - Pénalités d’assiette, impôts directs - OHADA"</v>
          </cell>
          <cell r="C1068" t="str">
            <v>Pénalités d’assiette, impôts directs</v>
          </cell>
          <cell r="D1068" t="str">
            <v>OHADA</v>
          </cell>
          <cell r="E1068" t="str">
            <v>647000 - Pénalités, amendes fiscales - OHADA</v>
          </cell>
          <cell r="F1068">
            <v>647100</v>
          </cell>
          <cell r="G1068" t="str">
            <v>0</v>
          </cell>
          <cell r="H1068" t="str">
            <v>Expense</v>
          </cell>
          <cell r="I1068" t="str">
            <v>Profit and Loss</v>
          </cell>
          <cell r="J1068" t="str">
            <v>XAF</v>
          </cell>
          <cell r="K1068" t="str">
            <v>Impôts et taxes</v>
          </cell>
        </row>
        <row r="1069">
          <cell r="A1069" t="str">
            <v>A1068</v>
          </cell>
          <cell r="B1069" t="str">
            <v>"647200 - Pénalités d’assiette, impôts indirects - OHADA"</v>
          </cell>
          <cell r="C1069" t="str">
            <v>Pénalités d’assiette, impôts indirects</v>
          </cell>
          <cell r="D1069" t="str">
            <v>OHADA</v>
          </cell>
          <cell r="E1069" t="str">
            <v>647000 - Pénalités, amendes fiscales - OHADA</v>
          </cell>
          <cell r="F1069">
            <v>647200</v>
          </cell>
          <cell r="G1069" t="str">
            <v>0</v>
          </cell>
          <cell r="H1069" t="str">
            <v>Expense</v>
          </cell>
          <cell r="I1069" t="str">
            <v>Profit and Loss</v>
          </cell>
          <cell r="J1069" t="str">
            <v>XAF</v>
          </cell>
          <cell r="K1069" t="str">
            <v>Impôts et taxes</v>
          </cell>
        </row>
        <row r="1070">
          <cell r="A1070" t="str">
            <v>A1069</v>
          </cell>
          <cell r="B1070" t="str">
            <v>"647300 - Pénalités de recouvrement, impôts directs - OHADA"</v>
          </cell>
          <cell r="C1070" t="str">
            <v>Pénalités de recouvrement, impôts directs</v>
          </cell>
          <cell r="D1070" t="str">
            <v>OHADA</v>
          </cell>
          <cell r="E1070" t="str">
            <v>647000 - Pénalités, amendes fiscales - OHADA</v>
          </cell>
          <cell r="F1070">
            <v>647300</v>
          </cell>
          <cell r="G1070" t="str">
            <v>0</v>
          </cell>
          <cell r="H1070" t="str">
            <v>Expense</v>
          </cell>
          <cell r="I1070" t="str">
            <v>Profit and Loss</v>
          </cell>
          <cell r="J1070" t="str">
            <v>XAF</v>
          </cell>
          <cell r="K1070" t="str">
            <v>Impôts et taxes</v>
          </cell>
        </row>
        <row r="1071">
          <cell r="A1071" t="str">
            <v>A1070</v>
          </cell>
          <cell r="B1071" t="str">
            <v>"647400 - Pénalités de recouvrement, impôts indirects - OHADA"</v>
          </cell>
          <cell r="C1071" t="str">
            <v>Pénalités de recouvrement, impôts indirects</v>
          </cell>
          <cell r="D1071" t="str">
            <v>OHADA</v>
          </cell>
          <cell r="E1071" t="str">
            <v>647000 - Pénalités, amendes fiscales - OHADA</v>
          </cell>
          <cell r="F1071">
            <v>647400</v>
          </cell>
          <cell r="G1071" t="str">
            <v>0</v>
          </cell>
          <cell r="H1071" t="str">
            <v>Expense</v>
          </cell>
          <cell r="I1071" t="str">
            <v>Profit and Loss</v>
          </cell>
          <cell r="J1071" t="str">
            <v>XAF</v>
          </cell>
          <cell r="K1071" t="str">
            <v>Impôts et taxes</v>
          </cell>
        </row>
        <row r="1072">
          <cell r="A1072" t="str">
            <v>A1071</v>
          </cell>
          <cell r="B1072" t="str">
            <v>"647800 - Autres pénalités et amendes fiscales - OHADA"</v>
          </cell>
          <cell r="C1072" t="str">
            <v>Autres pénalités et amendes fiscales</v>
          </cell>
          <cell r="D1072" t="str">
            <v>OHADA</v>
          </cell>
          <cell r="E1072" t="str">
            <v>647000 - Pénalités, amendes fiscales - OHADA</v>
          </cell>
          <cell r="F1072">
            <v>647800</v>
          </cell>
          <cell r="G1072" t="str">
            <v>0</v>
          </cell>
          <cell r="H1072" t="str">
            <v>Expense</v>
          </cell>
          <cell r="I1072" t="str">
            <v>Profit and Loss</v>
          </cell>
          <cell r="J1072" t="str">
            <v>XAF</v>
          </cell>
          <cell r="K1072" t="str">
            <v>Impôts et taxes</v>
          </cell>
        </row>
        <row r="1073">
          <cell r="A1073" t="str">
            <v>A1072</v>
          </cell>
          <cell r="B1073" t="str">
            <v>"648000 - Autres impôts et taxes - OHADA"</v>
          </cell>
          <cell r="C1073" t="str">
            <v>Autres impôts et taxes</v>
          </cell>
          <cell r="D1073" t="str">
            <v>OHADA</v>
          </cell>
          <cell r="E1073" t="str">
            <v>640000 - Impôts et taxes - OHADA</v>
          </cell>
          <cell r="F1073">
            <v>648000</v>
          </cell>
          <cell r="G1073" t="str">
            <v>0</v>
          </cell>
          <cell r="H1073" t="str">
            <v>Expense</v>
          </cell>
          <cell r="I1073" t="str">
            <v>Profit and Loss</v>
          </cell>
          <cell r="J1073" t="str">
            <v>XAF</v>
          </cell>
          <cell r="K1073" t="str">
            <v>Impôts et taxes</v>
          </cell>
        </row>
        <row r="1074">
          <cell r="A1074" t="str">
            <v>A1073</v>
          </cell>
          <cell r="B1074" t="str">
            <v>"650000 - Autres charges - OHADA"</v>
          </cell>
          <cell r="C1074" t="str">
            <v>Autres charges</v>
          </cell>
          <cell r="D1074" t="str">
            <v>OHADA</v>
          </cell>
          <cell r="E1074" t="str">
            <v>6 - Comptes de charges des activités ordinaires - OHADA</v>
          </cell>
          <cell r="F1074">
            <v>650000</v>
          </cell>
          <cell r="G1074" t="str">
            <v>1</v>
          </cell>
          <cell r="H1074" t="str">
            <v>Expense</v>
          </cell>
          <cell r="I1074" t="str">
            <v>Profit and Loss</v>
          </cell>
          <cell r="J1074" t="str">
            <v>XAF</v>
          </cell>
          <cell r="K1074" t="str">
            <v>Autres charges</v>
          </cell>
        </row>
        <row r="1075">
          <cell r="A1075" t="str">
            <v>A1074</v>
          </cell>
          <cell r="B1075" t="str">
            <v>"651000 - Pertes sur créances clients et autres débiteurs - OHADA"</v>
          </cell>
          <cell r="C1075" t="str">
            <v>Pertes sur créances clients et autres débiteurs</v>
          </cell>
          <cell r="D1075" t="str">
            <v>OHADA</v>
          </cell>
          <cell r="E1075" t="str">
            <v>650000 - Autres charges - OHADA</v>
          </cell>
          <cell r="F1075">
            <v>651000</v>
          </cell>
          <cell r="G1075" t="str">
            <v>1</v>
          </cell>
          <cell r="H1075" t="str">
            <v>Expense</v>
          </cell>
          <cell r="I1075" t="str">
            <v>Profit and Loss</v>
          </cell>
          <cell r="J1075" t="str">
            <v>XAF</v>
          </cell>
          <cell r="K1075" t="str">
            <v>Autres charges</v>
          </cell>
        </row>
        <row r="1076">
          <cell r="A1076" t="str">
            <v>A1075</v>
          </cell>
          <cell r="B1076" t="str">
            <v>"651100 - Clients - OHADA"</v>
          </cell>
          <cell r="C1076" t="str">
            <v>Clients</v>
          </cell>
          <cell r="D1076" t="str">
            <v>OHADA</v>
          </cell>
          <cell r="E1076" t="str">
            <v>651000 - Pertes sur créances clients et autres débiteurs - OHADA</v>
          </cell>
          <cell r="F1076">
            <v>651100</v>
          </cell>
          <cell r="G1076" t="str">
            <v>0</v>
          </cell>
          <cell r="H1076" t="str">
            <v>Expense</v>
          </cell>
          <cell r="I1076" t="str">
            <v>Profit and Loss</v>
          </cell>
          <cell r="J1076" t="str">
            <v>XAF</v>
          </cell>
          <cell r="K1076" t="str">
            <v>Autres charges</v>
          </cell>
        </row>
        <row r="1077">
          <cell r="A1077" t="str">
            <v>A1076</v>
          </cell>
          <cell r="B1077" t="str">
            <v>"651500 - Autres débiteurs - OHADA"</v>
          </cell>
          <cell r="C1077" t="str">
            <v>Autres débiteurs</v>
          </cell>
          <cell r="D1077" t="str">
            <v>OHADA</v>
          </cell>
          <cell r="E1077" t="str">
            <v>651000 - Pertes sur créances clients et autres débiteurs - OHADA</v>
          </cell>
          <cell r="F1077">
            <v>651500</v>
          </cell>
          <cell r="G1077" t="str">
            <v>0</v>
          </cell>
          <cell r="H1077" t="str">
            <v>Expense</v>
          </cell>
          <cell r="I1077" t="str">
            <v>Profit and Loss</v>
          </cell>
          <cell r="J1077" t="str">
            <v>XAF</v>
          </cell>
          <cell r="K1077" t="str">
            <v>Autres charges</v>
          </cell>
        </row>
        <row r="1078">
          <cell r="A1078" t="str">
            <v>A1077</v>
          </cell>
          <cell r="B1078" t="str">
            <v>"652000 - Quote - part de résultat sur opérations faites en commun - OHADA"</v>
          </cell>
          <cell r="C1078" t="str">
            <v>Quote-part de résultat sur opérations faites en commun</v>
          </cell>
          <cell r="D1078" t="str">
            <v>OHADA</v>
          </cell>
          <cell r="E1078" t="str">
            <v>650000 - Autres charges - OHADA</v>
          </cell>
          <cell r="F1078">
            <v>652000</v>
          </cell>
          <cell r="G1078" t="str">
            <v>1</v>
          </cell>
          <cell r="H1078" t="str">
            <v>Expense</v>
          </cell>
          <cell r="I1078" t="str">
            <v>Profit and Loss</v>
          </cell>
          <cell r="J1078" t="str">
            <v>XAF</v>
          </cell>
          <cell r="K1078" t="str">
            <v>Autres charges</v>
          </cell>
        </row>
        <row r="1079">
          <cell r="A1079" t="str">
            <v>A1078</v>
          </cell>
          <cell r="B1079" t="str">
            <v>"652100 - Quote - part transférée de bénéfices (comptabilité du gérant) - OHADA"</v>
          </cell>
          <cell r="C1079" t="str">
            <v>Quote-part transférée de bénéfices (comptabilité du gérant)</v>
          </cell>
          <cell r="D1079" t="str">
            <v>OHADA</v>
          </cell>
          <cell r="E1079" t="str">
            <v>652000 - Quote-part de résultat sur opérations faites en commun - OHADA</v>
          </cell>
          <cell r="F1079">
            <v>652100</v>
          </cell>
          <cell r="G1079" t="str">
            <v>0</v>
          </cell>
          <cell r="H1079" t="str">
            <v>Expense</v>
          </cell>
          <cell r="I1079" t="str">
            <v>Profit and Loss</v>
          </cell>
          <cell r="J1079" t="str">
            <v>XAF</v>
          </cell>
          <cell r="K1079" t="str">
            <v>Autres charges</v>
          </cell>
        </row>
        <row r="1080">
          <cell r="A1080" t="str">
            <v>A1079</v>
          </cell>
          <cell r="B1080" t="str">
            <v>"652500 - Pertes imputées par transfert (comptabilité des associés non gérants) - OHADA"</v>
          </cell>
          <cell r="C1080" t="str">
            <v>Pertes imputées par transfert (comptabilité des associés non gérants)</v>
          </cell>
          <cell r="D1080" t="str">
            <v>OHADA</v>
          </cell>
          <cell r="E1080" t="str">
            <v>652000 - Quote-part de résultat sur opérations faites en commun - OHADA</v>
          </cell>
          <cell r="F1080">
            <v>652500</v>
          </cell>
          <cell r="G1080" t="str">
            <v>0</v>
          </cell>
          <cell r="H1080" t="str">
            <v>Expense</v>
          </cell>
          <cell r="I1080" t="str">
            <v>Profit and Loss</v>
          </cell>
          <cell r="J1080" t="str">
            <v>XAF</v>
          </cell>
          <cell r="K1080" t="str">
            <v>Autres charges</v>
          </cell>
        </row>
        <row r="1081">
          <cell r="A1081" t="str">
            <v>A1080</v>
          </cell>
          <cell r="B1081" t="str">
            <v>"654000 - Valeurs comptables des cessions courantes d’immobilisations - OHADA"</v>
          </cell>
          <cell r="C1081" t="str">
            <v>Valeurs comptables des cessions courantes d’immobilisations</v>
          </cell>
          <cell r="D1081" t="str">
            <v>OHADA</v>
          </cell>
          <cell r="E1081" t="str">
            <v>650000 - Autres charges - OHADA</v>
          </cell>
          <cell r="F1081">
            <v>654000</v>
          </cell>
          <cell r="G1081" t="str">
            <v>1</v>
          </cell>
          <cell r="H1081" t="str">
            <v>Expense</v>
          </cell>
          <cell r="I1081" t="str">
            <v>Profit and Loss</v>
          </cell>
          <cell r="J1081" t="str">
            <v>XAF</v>
          </cell>
          <cell r="K1081" t="str">
            <v>Autres charges</v>
          </cell>
        </row>
        <row r="1082">
          <cell r="A1082" t="str">
            <v>A1081</v>
          </cell>
          <cell r="B1082" t="str">
            <v>"654100 - Immobilisations incorporelles - OHADA"</v>
          </cell>
          <cell r="C1082" t="str">
            <v>Immobilisations incorporelles</v>
          </cell>
          <cell r="D1082" t="str">
            <v>OHADA</v>
          </cell>
          <cell r="E1082" t="str">
            <v>654000 - Valeurs comptables des cessions courantes d’immobilisations - OHADA</v>
          </cell>
          <cell r="F1082">
            <v>654100</v>
          </cell>
          <cell r="G1082" t="str">
            <v>0</v>
          </cell>
          <cell r="H1082" t="str">
            <v>Expense</v>
          </cell>
          <cell r="I1082" t="str">
            <v>Profit and Loss</v>
          </cell>
          <cell r="J1082" t="str">
            <v>XAF</v>
          </cell>
          <cell r="K1082" t="str">
            <v>Autres charges</v>
          </cell>
        </row>
        <row r="1083">
          <cell r="A1083" t="str">
            <v>A1082</v>
          </cell>
          <cell r="B1083" t="str">
            <v>"654200 - Immobilisations corporelles - OHADA"</v>
          </cell>
          <cell r="C1083" t="str">
            <v>Immobilisations corporelles</v>
          </cell>
          <cell r="D1083" t="str">
            <v>OHADA</v>
          </cell>
          <cell r="E1083" t="str">
            <v>654000 - Valeurs comptables des cessions courantes d’immobilisations - OHADA</v>
          </cell>
          <cell r="F1083">
            <v>654200</v>
          </cell>
          <cell r="G1083" t="str">
            <v>0</v>
          </cell>
          <cell r="H1083" t="str">
            <v>Expense</v>
          </cell>
          <cell r="I1083" t="str">
            <v>Profit and Loss</v>
          </cell>
          <cell r="J1083" t="str">
            <v>XAF</v>
          </cell>
          <cell r="K1083" t="str">
            <v>Autres charges</v>
          </cell>
        </row>
        <row r="1084">
          <cell r="A1084" t="str">
            <v>A1083</v>
          </cell>
          <cell r="B1084" t="str">
            <v>"656000 - Perte de change sur créances et dettes commerciale - OHADA"</v>
          </cell>
          <cell r="C1084" t="str">
            <v>Perte de change sur créances et dettes commerciale</v>
          </cell>
          <cell r="D1084" t="str">
            <v>OHADA</v>
          </cell>
          <cell r="E1084" t="str">
            <v>650000 - Autres charges - OHADA</v>
          </cell>
          <cell r="F1084">
            <v>656000</v>
          </cell>
          <cell r="G1084" t="str">
            <v>0</v>
          </cell>
          <cell r="H1084" t="str">
            <v>Expense</v>
          </cell>
          <cell r="I1084" t="str">
            <v>Profit and Loss</v>
          </cell>
          <cell r="J1084" t="str">
            <v>XAF</v>
          </cell>
          <cell r="K1084" t="str">
            <v>Autres charges</v>
          </cell>
        </row>
        <row r="1085">
          <cell r="A1085" t="str">
            <v>A1084</v>
          </cell>
          <cell r="B1085" t="str">
            <v>"657000 - Pénalités et amendes pénales - OHADA"</v>
          </cell>
          <cell r="C1085" t="str">
            <v>Pénalités et amendes pénales</v>
          </cell>
          <cell r="D1085" t="str">
            <v>OHADA</v>
          </cell>
          <cell r="E1085" t="str">
            <v>650000 - Autres charges - OHADA</v>
          </cell>
          <cell r="F1085">
            <v>657000</v>
          </cell>
          <cell r="G1085" t="str">
            <v>0</v>
          </cell>
          <cell r="H1085" t="str">
            <v>Expense</v>
          </cell>
          <cell r="I1085" t="str">
            <v>Profit and Loss</v>
          </cell>
          <cell r="J1085" t="str">
            <v>XAF</v>
          </cell>
          <cell r="K1085" t="str">
            <v>Autres charges</v>
          </cell>
        </row>
        <row r="1086">
          <cell r="A1086" t="str">
            <v>A1085</v>
          </cell>
          <cell r="B1086" t="str">
            <v>"658000 - Charges diverses - OHADA"</v>
          </cell>
          <cell r="C1086" t="str">
            <v>Charges diverses</v>
          </cell>
          <cell r="D1086" t="str">
            <v>OHADA</v>
          </cell>
          <cell r="E1086" t="str">
            <v>650000 - Autres charges - OHADA</v>
          </cell>
          <cell r="F1086">
            <v>658000</v>
          </cell>
          <cell r="G1086" t="str">
            <v>1</v>
          </cell>
          <cell r="H1086" t="str">
            <v>Expense</v>
          </cell>
          <cell r="I1086" t="str">
            <v>Profit and Loss</v>
          </cell>
          <cell r="J1086" t="str">
            <v>XAF</v>
          </cell>
          <cell r="K1086" t="str">
            <v>Autres charges</v>
          </cell>
        </row>
        <row r="1087">
          <cell r="A1087" t="str">
            <v>A1086</v>
          </cell>
          <cell r="B1087" t="str">
            <v>"658100 - Indemnités de fonction et autres rémunérations d’administrateurs - OHADA"</v>
          </cell>
          <cell r="C1087" t="str">
            <v>Indemnités de fonction et autres rémunérations d’administrateurs</v>
          </cell>
          <cell r="D1087" t="str">
            <v>OHADA</v>
          </cell>
          <cell r="E1087" t="str">
            <v>658000 - Charges diverses - OHADA</v>
          </cell>
          <cell r="F1087">
            <v>658100</v>
          </cell>
          <cell r="G1087" t="str">
            <v>0</v>
          </cell>
          <cell r="H1087" t="str">
            <v>Expense</v>
          </cell>
          <cell r="I1087" t="str">
            <v>Profit and Loss</v>
          </cell>
          <cell r="J1087" t="str">
            <v>XAF</v>
          </cell>
          <cell r="K1087" t="str">
            <v>Autres charges</v>
          </cell>
        </row>
        <row r="1088">
          <cell r="A1088" t="str">
            <v>A1087</v>
          </cell>
          <cell r="B1088" t="str">
            <v>"658200 - Dons - OHADA"</v>
          </cell>
          <cell r="C1088" t="str">
            <v>Dons</v>
          </cell>
          <cell r="D1088" t="str">
            <v>OHADA</v>
          </cell>
          <cell r="E1088" t="str">
            <v>658000 - Charges diverses - OHADA</v>
          </cell>
          <cell r="F1088">
            <v>658200</v>
          </cell>
          <cell r="G1088" t="str">
            <v>0</v>
          </cell>
          <cell r="H1088" t="str">
            <v>Expense</v>
          </cell>
          <cell r="I1088" t="str">
            <v>Profit and Loss</v>
          </cell>
          <cell r="J1088" t="str">
            <v>XAF</v>
          </cell>
          <cell r="K1088" t="str">
            <v>Autres charges</v>
          </cell>
        </row>
        <row r="1089">
          <cell r="A1089" t="str">
            <v>A1088</v>
          </cell>
          <cell r="B1089" t="str">
            <v>"658300 - Mécénat - OHADA"</v>
          </cell>
          <cell r="C1089" t="str">
            <v>Mécénat</v>
          </cell>
          <cell r="D1089" t="str">
            <v>OHADA</v>
          </cell>
          <cell r="E1089" t="str">
            <v>658000 - Charges diverses - OHADA</v>
          </cell>
          <cell r="F1089">
            <v>658300</v>
          </cell>
          <cell r="G1089" t="str">
            <v>0</v>
          </cell>
          <cell r="H1089" t="str">
            <v>Expense</v>
          </cell>
          <cell r="I1089" t="str">
            <v>Profit and Loss</v>
          </cell>
          <cell r="J1089" t="str">
            <v>XAF</v>
          </cell>
          <cell r="K1089" t="str">
            <v>Autres charges</v>
          </cell>
        </row>
        <row r="1090">
          <cell r="A1090" t="str">
            <v>A1089</v>
          </cell>
          <cell r="B1090" t="str">
            <v>"658800 - Autres charges diverses - OHADA"</v>
          </cell>
          <cell r="C1090" t="str">
            <v>Autres charges diverses</v>
          </cell>
          <cell r="D1090" t="str">
            <v>OHADA</v>
          </cell>
          <cell r="E1090" t="str">
            <v>658000 - Charges diverses - OHADA</v>
          </cell>
          <cell r="F1090">
            <v>658800</v>
          </cell>
          <cell r="G1090" t="str">
            <v>0</v>
          </cell>
          <cell r="H1090" t="str">
            <v>Expense</v>
          </cell>
          <cell r="I1090" t="str">
            <v>Profit and Loss</v>
          </cell>
          <cell r="J1090" t="str">
            <v>XAF</v>
          </cell>
          <cell r="K1090" t="str">
            <v>Autres charges</v>
          </cell>
        </row>
        <row r="1091">
          <cell r="A1091" t="str">
            <v>A1090</v>
          </cell>
          <cell r="B1091" t="str">
            <v>"659000 - Charges pour dépréciations et provisions pour risques à court terme d’exploitation - OHADA"</v>
          </cell>
          <cell r="C1091" t="str">
            <v>Charges pour dépréciations et provisions pour risques à court terme d’exploitation</v>
          </cell>
          <cell r="D1091" t="str">
            <v>OHADA</v>
          </cell>
          <cell r="E1091" t="str">
            <v>650000 - Autres charges - OHADA</v>
          </cell>
          <cell r="F1091">
            <v>659000</v>
          </cell>
          <cell r="G1091" t="str">
            <v>1</v>
          </cell>
          <cell r="H1091" t="str">
            <v>Expense</v>
          </cell>
          <cell r="I1091" t="str">
            <v>Profit and Loss</v>
          </cell>
          <cell r="J1091" t="str">
            <v>XAF</v>
          </cell>
          <cell r="K1091" t="str">
            <v>Autres charges</v>
          </cell>
        </row>
        <row r="1092">
          <cell r="A1092" t="str">
            <v>A1091</v>
          </cell>
          <cell r="B1092" t="str">
            <v>"659100 - Sur risques à court terme - OHADA"</v>
          </cell>
          <cell r="C1092" t="str">
            <v>Sur risques à court terme</v>
          </cell>
          <cell r="D1092" t="str">
            <v>OHADA</v>
          </cell>
          <cell r="E1092" t="str">
            <v>659000 - Charges pour dépréciations et provisions pour risques à court terme d’exploitation - OHADA</v>
          </cell>
          <cell r="F1092">
            <v>659100</v>
          </cell>
          <cell r="G1092" t="str">
            <v>0</v>
          </cell>
          <cell r="H1092" t="str">
            <v>Expense</v>
          </cell>
          <cell r="I1092" t="str">
            <v>Profit and Loss</v>
          </cell>
          <cell r="J1092" t="str">
            <v>XAF</v>
          </cell>
          <cell r="K1092" t="str">
            <v>Autres charges</v>
          </cell>
        </row>
        <row r="1093">
          <cell r="A1093" t="str">
            <v>A1092</v>
          </cell>
          <cell r="B1093" t="str">
            <v>"659300 - Sur stocks - OHADA"</v>
          </cell>
          <cell r="C1093" t="str">
            <v>Sur stocks</v>
          </cell>
          <cell r="D1093" t="str">
            <v>OHADA</v>
          </cell>
          <cell r="E1093" t="str">
            <v>659000 - Charges pour dépréciations et provisions pour risques à court terme d’exploitation - OHADA</v>
          </cell>
          <cell r="F1093">
            <v>659300</v>
          </cell>
          <cell r="G1093" t="str">
            <v>0</v>
          </cell>
          <cell r="H1093" t="str">
            <v>Expense</v>
          </cell>
          <cell r="I1093" t="str">
            <v>Profit and Loss</v>
          </cell>
          <cell r="J1093" t="str">
            <v>XAF</v>
          </cell>
          <cell r="K1093" t="str">
            <v>Autres charges</v>
          </cell>
        </row>
        <row r="1094">
          <cell r="A1094" t="str">
            <v>A1093</v>
          </cell>
          <cell r="B1094" t="str">
            <v>"659400 - Sur créances - OHADA"</v>
          </cell>
          <cell r="C1094" t="str">
            <v>Sur créances</v>
          </cell>
          <cell r="D1094" t="str">
            <v>OHADA</v>
          </cell>
          <cell r="E1094" t="str">
            <v>659000 - Charges pour dépréciations et provisions pour risques à court terme d’exploitation - OHADA</v>
          </cell>
          <cell r="F1094">
            <v>659400</v>
          </cell>
          <cell r="G1094" t="str">
            <v>0</v>
          </cell>
          <cell r="H1094" t="str">
            <v>Expense</v>
          </cell>
          <cell r="I1094" t="str">
            <v>Profit and Loss</v>
          </cell>
          <cell r="J1094" t="str">
            <v>XAF</v>
          </cell>
          <cell r="K1094" t="str">
            <v>Autres charges</v>
          </cell>
        </row>
        <row r="1095">
          <cell r="A1095" t="str">
            <v>A1094</v>
          </cell>
          <cell r="B1095" t="str">
            <v>"659800 - Autres charges pour dépréciations et provisions pour risques à court terme - OHADA"</v>
          </cell>
          <cell r="C1095" t="str">
            <v>Autres charges pour dépréciations et provisions pour risques à court terme</v>
          </cell>
          <cell r="D1095" t="str">
            <v>OHADA</v>
          </cell>
          <cell r="E1095" t="str">
            <v>659000 - Charges pour dépréciations et provisions pour risques à court terme d’exploitation - OHADA</v>
          </cell>
          <cell r="F1095">
            <v>659800</v>
          </cell>
          <cell r="G1095" t="str">
            <v>0</v>
          </cell>
          <cell r="H1095" t="str">
            <v>Expense</v>
          </cell>
          <cell r="I1095" t="str">
            <v>Profit and Loss</v>
          </cell>
          <cell r="J1095" t="str">
            <v>XAF</v>
          </cell>
          <cell r="K1095" t="str">
            <v>Autres charges</v>
          </cell>
        </row>
        <row r="1096">
          <cell r="A1096" t="str">
            <v>A1095</v>
          </cell>
          <cell r="B1096" t="str">
            <v>"660000 - Charges de personnel - OHADA"</v>
          </cell>
          <cell r="C1096" t="str">
            <v>Charges de personnel</v>
          </cell>
          <cell r="D1096" t="str">
            <v>OHADA</v>
          </cell>
          <cell r="E1096" t="str">
            <v>6 - Comptes de charges des activités ordinaires - OHADA</v>
          </cell>
          <cell r="F1096">
            <v>660000</v>
          </cell>
          <cell r="G1096" t="str">
            <v>1</v>
          </cell>
          <cell r="H1096" t="str">
            <v>Expense</v>
          </cell>
          <cell r="I1096" t="str">
            <v>Profit and Loss</v>
          </cell>
          <cell r="J1096" t="str">
            <v>XAF</v>
          </cell>
          <cell r="K1096" t="str">
            <v>Charges de personnel</v>
          </cell>
        </row>
        <row r="1097">
          <cell r="A1097" t="str">
            <v>A1096</v>
          </cell>
          <cell r="B1097" t="str">
            <v>"661000 - Rémunérations directes versées au personnel national - OHADA"</v>
          </cell>
          <cell r="C1097" t="str">
            <v>Rémunérations directes versées au personnel national</v>
          </cell>
          <cell r="D1097" t="str">
            <v>OHADA</v>
          </cell>
          <cell r="E1097" t="str">
            <v>660000 - Charges de personnel - OHADA</v>
          </cell>
          <cell r="F1097">
            <v>661000</v>
          </cell>
          <cell r="G1097" t="str">
            <v>1</v>
          </cell>
          <cell r="H1097" t="str">
            <v>Expense</v>
          </cell>
          <cell r="I1097" t="str">
            <v>Profit and Loss</v>
          </cell>
          <cell r="J1097" t="str">
            <v>XAF</v>
          </cell>
          <cell r="K1097" t="str">
            <v>Charges de personnel</v>
          </cell>
        </row>
        <row r="1098">
          <cell r="A1098" t="str">
            <v>A1097</v>
          </cell>
          <cell r="B1098" t="str">
            <v>"661100 - Appointements salaires et commissions - OHADA"</v>
          </cell>
          <cell r="C1098" t="str">
            <v>Appointements salaires et commissions</v>
          </cell>
          <cell r="D1098" t="str">
            <v>OHADA</v>
          </cell>
          <cell r="E1098" t="str">
            <v>661000 - Rémunérations directes versées au personnel national - OHADA</v>
          </cell>
          <cell r="F1098">
            <v>661100</v>
          </cell>
          <cell r="G1098" t="str">
            <v>0</v>
          </cell>
          <cell r="H1098" t="str">
            <v>Expense</v>
          </cell>
          <cell r="I1098" t="str">
            <v>Profit and Loss</v>
          </cell>
          <cell r="J1098" t="str">
            <v>XAF</v>
          </cell>
          <cell r="K1098" t="str">
            <v>Charges de personnel</v>
          </cell>
        </row>
        <row r="1099">
          <cell r="A1099" t="str">
            <v>A1098</v>
          </cell>
          <cell r="B1099" t="str">
            <v>"661200 - Primes et gratifications - OHADA"</v>
          </cell>
          <cell r="C1099" t="str">
            <v>Primes et gratifications</v>
          </cell>
          <cell r="D1099" t="str">
            <v>OHADA</v>
          </cell>
          <cell r="E1099" t="str">
            <v>661000 - Rémunérations directes versées au personnel national - OHADA</v>
          </cell>
          <cell r="F1099">
            <v>661200</v>
          </cell>
          <cell r="G1099" t="str">
            <v>0</v>
          </cell>
          <cell r="H1099" t="str">
            <v>Expense</v>
          </cell>
          <cell r="I1099" t="str">
            <v>Profit and Loss</v>
          </cell>
          <cell r="J1099" t="str">
            <v>XAF</v>
          </cell>
          <cell r="K1099" t="str">
            <v>Charges de personnel</v>
          </cell>
        </row>
        <row r="1100">
          <cell r="A1100" t="str">
            <v>A1099</v>
          </cell>
          <cell r="B1100" t="str">
            <v>"661300 - Congés payés - OHADA"</v>
          </cell>
          <cell r="C1100" t="str">
            <v>Congés payés</v>
          </cell>
          <cell r="D1100" t="str">
            <v>OHADA</v>
          </cell>
          <cell r="E1100" t="str">
            <v>661000 - Rémunérations directes versées au personnel national - OHADA</v>
          </cell>
          <cell r="F1100">
            <v>661300</v>
          </cell>
          <cell r="G1100" t="str">
            <v>0</v>
          </cell>
          <cell r="H1100" t="str">
            <v>Expense</v>
          </cell>
          <cell r="I1100" t="str">
            <v>Profit and Loss</v>
          </cell>
          <cell r="J1100" t="str">
            <v>XAF</v>
          </cell>
          <cell r="K1100" t="str">
            <v>Charges de personnel</v>
          </cell>
        </row>
        <row r="1101">
          <cell r="A1101" t="str">
            <v>A1100</v>
          </cell>
          <cell r="B1101" t="str">
            <v>"661400 - Indemnités de préavis, de licenciement et de recherche d’embauche - OHADA"</v>
          </cell>
          <cell r="C1101" t="str">
            <v>Indemnités de préavis, de licenciement et de recherche d’embauche</v>
          </cell>
          <cell r="D1101" t="str">
            <v>OHADA</v>
          </cell>
          <cell r="E1101" t="str">
            <v>661000 - Rémunérations directes versées au personnel national - OHADA</v>
          </cell>
          <cell r="F1101">
            <v>661400</v>
          </cell>
          <cell r="G1101" t="str">
            <v>0</v>
          </cell>
          <cell r="H1101" t="str">
            <v>Expense</v>
          </cell>
          <cell r="I1101" t="str">
            <v>Profit and Loss</v>
          </cell>
          <cell r="J1101" t="str">
            <v>XAF</v>
          </cell>
          <cell r="K1101" t="str">
            <v>Charges de personnel</v>
          </cell>
        </row>
        <row r="1102">
          <cell r="A1102" t="str">
            <v>A1101</v>
          </cell>
          <cell r="B1102" t="str">
            <v>"661500 - Indemnités de maladie versées aux travailleurs - OHADA"</v>
          </cell>
          <cell r="C1102" t="str">
            <v>Indemnités de maladie versées aux travailleurs</v>
          </cell>
          <cell r="D1102" t="str">
            <v>OHADA</v>
          </cell>
          <cell r="E1102" t="str">
            <v>661000 - Rémunérations directes versées au personnel national - OHADA</v>
          </cell>
          <cell r="F1102">
            <v>661500</v>
          </cell>
          <cell r="G1102" t="str">
            <v>0</v>
          </cell>
          <cell r="H1102" t="str">
            <v>Expense</v>
          </cell>
          <cell r="I1102" t="str">
            <v>Profit and Loss</v>
          </cell>
          <cell r="J1102" t="str">
            <v>XAF</v>
          </cell>
          <cell r="K1102" t="str">
            <v>Charges de personnel</v>
          </cell>
        </row>
        <row r="1103">
          <cell r="A1103" t="str">
            <v>A1102</v>
          </cell>
          <cell r="B1103" t="str">
            <v>"661600 - Supplément familial - OHADA"</v>
          </cell>
          <cell r="C1103" t="str">
            <v>Supplément familial</v>
          </cell>
          <cell r="D1103" t="str">
            <v>OHADA</v>
          </cell>
          <cell r="E1103" t="str">
            <v>661000 - Rémunérations directes versées au personnel national - OHADA</v>
          </cell>
          <cell r="F1103">
            <v>661600</v>
          </cell>
          <cell r="G1103" t="str">
            <v>0</v>
          </cell>
          <cell r="H1103" t="str">
            <v>Expense</v>
          </cell>
          <cell r="I1103" t="str">
            <v>Profit and Loss</v>
          </cell>
          <cell r="J1103" t="str">
            <v>XAF</v>
          </cell>
          <cell r="K1103" t="str">
            <v>Charges de personnel</v>
          </cell>
        </row>
        <row r="1104">
          <cell r="A1104" t="str">
            <v>A1103</v>
          </cell>
          <cell r="B1104" t="str">
            <v>"661700 - Avantages en nature - OHADA"</v>
          </cell>
          <cell r="C1104" t="str">
            <v>Avantages en nature</v>
          </cell>
          <cell r="D1104" t="str">
            <v>OHADA</v>
          </cell>
          <cell r="E1104" t="str">
            <v>661000 - Rémunérations directes versées au personnel national - OHADA</v>
          </cell>
          <cell r="F1104">
            <v>661700</v>
          </cell>
          <cell r="G1104" t="str">
            <v>0</v>
          </cell>
          <cell r="H1104" t="str">
            <v>Expense</v>
          </cell>
          <cell r="I1104" t="str">
            <v>Profit and Loss</v>
          </cell>
          <cell r="J1104" t="str">
            <v>XAF</v>
          </cell>
          <cell r="K1104" t="str">
            <v>Charges de personnel</v>
          </cell>
        </row>
        <row r="1105">
          <cell r="A1105" t="str">
            <v>A1104</v>
          </cell>
          <cell r="B1105" t="str">
            <v>"661800 - Autres rémunérations directes - OHADA"</v>
          </cell>
          <cell r="C1105" t="str">
            <v>Autres rémunérations directes</v>
          </cell>
          <cell r="D1105" t="str">
            <v>OHADA</v>
          </cell>
          <cell r="E1105" t="str">
            <v>661000 - Rémunérations directes versées au personnel national - OHADA</v>
          </cell>
          <cell r="F1105">
            <v>661800</v>
          </cell>
          <cell r="G1105" t="str">
            <v>0</v>
          </cell>
          <cell r="H1105" t="str">
            <v>Expense</v>
          </cell>
          <cell r="I1105" t="str">
            <v>Profit and Loss</v>
          </cell>
          <cell r="J1105" t="str">
            <v>XAF</v>
          </cell>
          <cell r="K1105" t="str">
            <v>Charges de personnel</v>
          </cell>
        </row>
        <row r="1106">
          <cell r="A1106" t="str">
            <v>A1105</v>
          </cell>
          <cell r="B1106" t="str">
            <v>"662000 - Rémunérations directes versées au personnel non national - OHADA"</v>
          </cell>
          <cell r="C1106" t="str">
            <v>Rémunérations directes versées au personnel non national</v>
          </cell>
          <cell r="D1106" t="str">
            <v>OHADA</v>
          </cell>
          <cell r="E1106" t="str">
            <v>660000 - Charges de personnel - OHADA</v>
          </cell>
          <cell r="F1106">
            <v>662000</v>
          </cell>
          <cell r="G1106" t="str">
            <v>1</v>
          </cell>
          <cell r="H1106" t="str">
            <v>Expense</v>
          </cell>
          <cell r="I1106" t="str">
            <v>Profit and Loss</v>
          </cell>
          <cell r="J1106" t="str">
            <v>XAF</v>
          </cell>
          <cell r="K1106" t="str">
            <v>Charges de personnel</v>
          </cell>
        </row>
        <row r="1107">
          <cell r="A1107" t="str">
            <v>A1106</v>
          </cell>
          <cell r="B1107" t="str">
            <v>"662100 - Appointements salaires et commissions - OHADA"</v>
          </cell>
          <cell r="C1107" t="str">
            <v>Appointements salaires et commissions</v>
          </cell>
          <cell r="D1107" t="str">
            <v>OHADA</v>
          </cell>
          <cell r="E1107" t="str">
            <v>662000 - Rémunérations directes versées au personnel non national - OHADA</v>
          </cell>
          <cell r="F1107">
            <v>662100</v>
          </cell>
          <cell r="G1107" t="str">
            <v>0</v>
          </cell>
          <cell r="H1107" t="str">
            <v>Expense</v>
          </cell>
          <cell r="I1107" t="str">
            <v>Profit and Loss</v>
          </cell>
          <cell r="J1107" t="str">
            <v>XAF</v>
          </cell>
          <cell r="K1107" t="str">
            <v>Charges de personnel</v>
          </cell>
        </row>
        <row r="1108">
          <cell r="A1108" t="str">
            <v>A1107</v>
          </cell>
          <cell r="B1108" t="str">
            <v>"662200 - Primes et gratifications - OHADA"</v>
          </cell>
          <cell r="C1108" t="str">
            <v>Primes et gratifications</v>
          </cell>
          <cell r="D1108" t="str">
            <v>OHADA</v>
          </cell>
          <cell r="E1108" t="str">
            <v>662000 - Rémunérations directes versées au personnel non national - OHADA</v>
          </cell>
          <cell r="F1108">
            <v>662200</v>
          </cell>
          <cell r="G1108" t="str">
            <v>0</v>
          </cell>
          <cell r="H1108" t="str">
            <v>Expense</v>
          </cell>
          <cell r="I1108" t="str">
            <v>Profit and Loss</v>
          </cell>
          <cell r="J1108" t="str">
            <v>XAF</v>
          </cell>
          <cell r="K1108" t="str">
            <v>Charges de personnel</v>
          </cell>
        </row>
        <row r="1109">
          <cell r="A1109" t="str">
            <v>A1108</v>
          </cell>
          <cell r="B1109" t="str">
            <v>"662300 - Congés payés - OHADA"</v>
          </cell>
          <cell r="C1109" t="str">
            <v>Congés payés</v>
          </cell>
          <cell r="D1109" t="str">
            <v>OHADA</v>
          </cell>
          <cell r="E1109" t="str">
            <v>662000 - Rémunérations directes versées au personnel non national - OHADA</v>
          </cell>
          <cell r="F1109">
            <v>662300</v>
          </cell>
          <cell r="G1109" t="str">
            <v>0</v>
          </cell>
          <cell r="H1109" t="str">
            <v>Expense</v>
          </cell>
          <cell r="I1109" t="str">
            <v>Profit and Loss</v>
          </cell>
          <cell r="J1109" t="str">
            <v>XAF</v>
          </cell>
          <cell r="K1109" t="str">
            <v>Charges de personnel</v>
          </cell>
        </row>
        <row r="1110">
          <cell r="A1110" t="str">
            <v>A1109</v>
          </cell>
          <cell r="B1110" t="str">
            <v>"662400 - Indemnités de préavis, de licenciement et de recherche d’embauche - OHADA"</v>
          </cell>
          <cell r="C1110" t="str">
            <v>Indemnités de préavis, de licenciement et de recherche d’embauche</v>
          </cell>
          <cell r="D1110" t="str">
            <v>OHADA</v>
          </cell>
          <cell r="E1110" t="str">
            <v>662000 - Rémunérations directes versées au personnel non national - OHADA</v>
          </cell>
          <cell r="F1110">
            <v>662400</v>
          </cell>
          <cell r="G1110" t="str">
            <v>0</v>
          </cell>
          <cell r="H1110" t="str">
            <v>Expense</v>
          </cell>
          <cell r="I1110" t="str">
            <v>Profit and Loss</v>
          </cell>
          <cell r="J1110" t="str">
            <v>XAF</v>
          </cell>
          <cell r="K1110" t="str">
            <v>Charges de personnel</v>
          </cell>
        </row>
        <row r="1111">
          <cell r="A1111" t="str">
            <v>A1110</v>
          </cell>
          <cell r="B1111" t="str">
            <v>"662500 - Indemnités de maladie versées aux travailleurs - OHADA"</v>
          </cell>
          <cell r="C1111" t="str">
            <v>Indemnités de maladie versées aux travailleurs</v>
          </cell>
          <cell r="D1111" t="str">
            <v>OHADA</v>
          </cell>
          <cell r="E1111" t="str">
            <v>662000 - Rémunérations directes versées au personnel non national - OHADA</v>
          </cell>
          <cell r="F1111">
            <v>662500</v>
          </cell>
          <cell r="G1111" t="str">
            <v>0</v>
          </cell>
          <cell r="H1111" t="str">
            <v>Expense</v>
          </cell>
          <cell r="I1111" t="str">
            <v>Profit and Loss</v>
          </cell>
          <cell r="J1111" t="str">
            <v>XAF</v>
          </cell>
          <cell r="K1111" t="str">
            <v>Charges de personnel</v>
          </cell>
        </row>
        <row r="1112">
          <cell r="A1112" t="str">
            <v>A1111</v>
          </cell>
          <cell r="B1112" t="str">
            <v>"662600 - Supplément familial - OHADA"</v>
          </cell>
          <cell r="C1112" t="str">
            <v>Supplément familial</v>
          </cell>
          <cell r="D1112" t="str">
            <v>OHADA</v>
          </cell>
          <cell r="E1112" t="str">
            <v>662000 - Rémunérations directes versées au personnel non national - OHADA</v>
          </cell>
          <cell r="F1112">
            <v>662600</v>
          </cell>
          <cell r="G1112" t="str">
            <v>0</v>
          </cell>
          <cell r="H1112" t="str">
            <v>Expense</v>
          </cell>
          <cell r="I1112" t="str">
            <v>Profit and Loss</v>
          </cell>
          <cell r="J1112" t="str">
            <v>XAF</v>
          </cell>
          <cell r="K1112" t="str">
            <v>Charges de personnel</v>
          </cell>
        </row>
        <row r="1113">
          <cell r="A1113" t="str">
            <v>A1112</v>
          </cell>
          <cell r="B1113" t="str">
            <v>"662700 - Avantages en nature - OHADA"</v>
          </cell>
          <cell r="C1113" t="str">
            <v>Avantages en nature</v>
          </cell>
          <cell r="D1113" t="str">
            <v>OHADA</v>
          </cell>
          <cell r="E1113" t="str">
            <v>662000 - Rémunérations directes versées au personnel non national - OHADA</v>
          </cell>
          <cell r="F1113">
            <v>662700</v>
          </cell>
          <cell r="G1113" t="str">
            <v>0</v>
          </cell>
          <cell r="H1113" t="str">
            <v>Expense</v>
          </cell>
          <cell r="I1113" t="str">
            <v>Profit and Loss</v>
          </cell>
          <cell r="J1113" t="str">
            <v>XAF</v>
          </cell>
          <cell r="K1113" t="str">
            <v>Charges de personnel</v>
          </cell>
        </row>
        <row r="1114">
          <cell r="A1114" t="str">
            <v>A1113</v>
          </cell>
          <cell r="B1114" t="str">
            <v>"662800 - Autres rémunérations directes - OHADA"</v>
          </cell>
          <cell r="C1114" t="str">
            <v>Autres rémunérations directes</v>
          </cell>
          <cell r="D1114" t="str">
            <v>OHADA</v>
          </cell>
          <cell r="E1114" t="str">
            <v>662000 - Rémunérations directes versées au personnel non national - OHADA</v>
          </cell>
          <cell r="F1114">
            <v>662800</v>
          </cell>
          <cell r="G1114" t="str">
            <v>0</v>
          </cell>
          <cell r="H1114" t="str">
            <v>Expense</v>
          </cell>
          <cell r="I1114" t="str">
            <v>Profit and Loss</v>
          </cell>
          <cell r="J1114" t="str">
            <v>XAF</v>
          </cell>
          <cell r="K1114" t="str">
            <v>Charges de personnel</v>
          </cell>
        </row>
        <row r="1115">
          <cell r="A1115" t="str">
            <v>A1114</v>
          </cell>
          <cell r="B1115" t="str">
            <v>"663000 - Indemnités forfaitaires versées au personnel - OHADA"</v>
          </cell>
          <cell r="C1115" t="str">
            <v>Indemnités forfaitaires versées au personnel</v>
          </cell>
          <cell r="D1115" t="str">
            <v>OHADA</v>
          </cell>
          <cell r="E1115" t="str">
            <v>660000 - Charges de personnel - OHADA</v>
          </cell>
          <cell r="F1115">
            <v>663000</v>
          </cell>
          <cell r="G1115" t="str">
            <v>1</v>
          </cell>
          <cell r="H1115" t="str">
            <v>Expense</v>
          </cell>
          <cell r="I1115" t="str">
            <v>Profit and Loss</v>
          </cell>
          <cell r="J1115" t="str">
            <v>XAF</v>
          </cell>
          <cell r="K1115" t="str">
            <v>Charges de personnel</v>
          </cell>
        </row>
        <row r="1116">
          <cell r="A1116" t="str">
            <v>A1115</v>
          </cell>
          <cell r="B1116" t="str">
            <v>"663100 - Indemnités de logement - OHADA"</v>
          </cell>
          <cell r="C1116" t="str">
            <v>Indemnités de logement</v>
          </cell>
          <cell r="D1116" t="str">
            <v>OHADA</v>
          </cell>
          <cell r="E1116" t="str">
            <v>663000 - Indemnités forfaitaires versées au personnel - OHADA</v>
          </cell>
          <cell r="F1116">
            <v>663100</v>
          </cell>
          <cell r="G1116" t="str">
            <v>0</v>
          </cell>
          <cell r="H1116" t="str">
            <v>Expense</v>
          </cell>
          <cell r="I1116" t="str">
            <v>Profit and Loss</v>
          </cell>
          <cell r="J1116" t="str">
            <v>XAF</v>
          </cell>
          <cell r="K1116" t="str">
            <v>Charges de personnel</v>
          </cell>
        </row>
        <row r="1117">
          <cell r="A1117" t="str">
            <v>A1116</v>
          </cell>
          <cell r="B1117" t="str">
            <v>"663200 - Indemnités de représentation - OHADA"</v>
          </cell>
          <cell r="C1117" t="str">
            <v>Indemnités de représentation</v>
          </cell>
          <cell r="D1117" t="str">
            <v>OHADA</v>
          </cell>
          <cell r="E1117" t="str">
            <v>663000 - Indemnités forfaitaires versées au personnel - OHADA</v>
          </cell>
          <cell r="F1117">
            <v>663200</v>
          </cell>
          <cell r="G1117" t="str">
            <v>0</v>
          </cell>
          <cell r="H1117" t="str">
            <v>Expense</v>
          </cell>
          <cell r="I1117" t="str">
            <v>Profit and Loss</v>
          </cell>
          <cell r="J1117" t="str">
            <v>XAF</v>
          </cell>
          <cell r="K1117" t="str">
            <v>Charges de personnel</v>
          </cell>
        </row>
        <row r="1118">
          <cell r="A1118" t="str">
            <v>A1117</v>
          </cell>
          <cell r="B1118" t="str">
            <v>"663300 - Indemnités d’expatriation - OHADA"</v>
          </cell>
          <cell r="C1118" t="str">
            <v>Indemnités d’expatriation</v>
          </cell>
          <cell r="D1118" t="str">
            <v>OHADA</v>
          </cell>
          <cell r="E1118" t="str">
            <v>663000 - Indemnités forfaitaires versées au personnel - OHADA</v>
          </cell>
          <cell r="F1118">
            <v>663300</v>
          </cell>
          <cell r="G1118" t="str">
            <v>0</v>
          </cell>
          <cell r="H1118" t="str">
            <v>Expense</v>
          </cell>
          <cell r="I1118" t="str">
            <v>Profit and Loss</v>
          </cell>
          <cell r="J1118" t="str">
            <v>XAF</v>
          </cell>
          <cell r="K1118" t="str">
            <v>Charges de personnel</v>
          </cell>
        </row>
        <row r="1119">
          <cell r="A1119" t="str">
            <v>A1118</v>
          </cell>
          <cell r="B1119" t="str">
            <v>"663400 - Indemnités de transport - OHADA"</v>
          </cell>
          <cell r="C1119" t="str">
            <v>Indemnités de transport</v>
          </cell>
          <cell r="D1119" t="str">
            <v>OHADA</v>
          </cell>
          <cell r="E1119" t="str">
            <v>663000 - Indemnités forfaitaires versées au personnel - OHADA</v>
          </cell>
          <cell r="F1119">
            <v>663400</v>
          </cell>
          <cell r="G1119" t="str">
            <v>0</v>
          </cell>
          <cell r="H1119" t="str">
            <v>Expense</v>
          </cell>
          <cell r="I1119" t="str">
            <v>Profit and Loss</v>
          </cell>
          <cell r="J1119" t="str">
            <v>XAF</v>
          </cell>
          <cell r="K1119" t="str">
            <v>Charges de personnel</v>
          </cell>
        </row>
        <row r="1120">
          <cell r="A1120" t="str">
            <v>A1119</v>
          </cell>
          <cell r="B1120" t="str">
            <v>"663800 - Autres indemnités et avantages divers - OHADA"</v>
          </cell>
          <cell r="C1120" t="str">
            <v>Autres indemnités et avantages divers</v>
          </cell>
          <cell r="D1120" t="str">
            <v>OHADA</v>
          </cell>
          <cell r="E1120" t="str">
            <v>663000 - Indemnités forfaitaires versées au personnel - OHADA</v>
          </cell>
          <cell r="F1120">
            <v>663800</v>
          </cell>
          <cell r="G1120" t="str">
            <v>0</v>
          </cell>
          <cell r="H1120" t="str">
            <v>Expense</v>
          </cell>
          <cell r="I1120" t="str">
            <v>Profit and Loss</v>
          </cell>
          <cell r="J1120" t="str">
            <v>XAF</v>
          </cell>
          <cell r="K1120" t="str">
            <v>Charges de personnel</v>
          </cell>
        </row>
        <row r="1121">
          <cell r="A1121" t="str">
            <v>A1120</v>
          </cell>
          <cell r="B1121" t="str">
            <v>"664000 - Charges sociales - OHADA"</v>
          </cell>
          <cell r="C1121" t="str">
            <v>Charges sociales</v>
          </cell>
          <cell r="D1121" t="str">
            <v>OHADA</v>
          </cell>
          <cell r="E1121" t="str">
            <v>660000 - Charges de personnel - OHADA</v>
          </cell>
          <cell r="F1121">
            <v>664000</v>
          </cell>
          <cell r="G1121" t="str">
            <v>1</v>
          </cell>
          <cell r="H1121" t="str">
            <v>Expense</v>
          </cell>
          <cell r="I1121" t="str">
            <v>Profit and Loss</v>
          </cell>
          <cell r="J1121" t="str">
            <v>XAF</v>
          </cell>
          <cell r="K1121" t="str">
            <v>Charges de personnel</v>
          </cell>
        </row>
        <row r="1122">
          <cell r="A1122" t="str">
            <v>A1121</v>
          </cell>
          <cell r="B1122" t="str">
            <v>"664100 - Charges sociales sur rémunération du personnel national - OHADA"</v>
          </cell>
          <cell r="C1122" t="str">
            <v>Charges sociales sur rémunération du personnel national</v>
          </cell>
          <cell r="D1122" t="str">
            <v>OHADA</v>
          </cell>
          <cell r="E1122" t="str">
            <v>664000 - Charges sociales - OHADA</v>
          </cell>
          <cell r="F1122">
            <v>664100</v>
          </cell>
          <cell r="G1122" t="str">
            <v>0</v>
          </cell>
          <cell r="H1122" t="str">
            <v>Expense</v>
          </cell>
          <cell r="I1122" t="str">
            <v>Profit and Loss</v>
          </cell>
          <cell r="J1122" t="str">
            <v>XAF</v>
          </cell>
          <cell r="K1122" t="str">
            <v>Charges de personnel</v>
          </cell>
        </row>
        <row r="1123">
          <cell r="A1123" t="str">
            <v>A1122</v>
          </cell>
          <cell r="B1123" t="str">
            <v>"664200 - Charges sociales sur rémunération du personnel non national - OHADA"</v>
          </cell>
          <cell r="C1123" t="str">
            <v>Charges sociales sur rémunération du personnel non national</v>
          </cell>
          <cell r="D1123" t="str">
            <v>OHADA</v>
          </cell>
          <cell r="E1123" t="str">
            <v>664000 - Charges sociales - OHADA</v>
          </cell>
          <cell r="F1123">
            <v>664200</v>
          </cell>
          <cell r="G1123" t="str">
            <v>0</v>
          </cell>
          <cell r="H1123" t="str">
            <v>Expense</v>
          </cell>
          <cell r="I1123" t="str">
            <v>Profit and Loss</v>
          </cell>
          <cell r="J1123" t="str">
            <v>XAF</v>
          </cell>
          <cell r="K1123" t="str">
            <v>Charges de personnel</v>
          </cell>
        </row>
        <row r="1124">
          <cell r="A1124" t="str">
            <v>A1123</v>
          </cell>
          <cell r="B1124" t="str">
            <v>"666000 - Rémunérations et charges sociales de l’exploitant individuel - OHADA"</v>
          </cell>
          <cell r="C1124" t="str">
            <v>Rémunérations et charges sociales de l’exploitant individuel</v>
          </cell>
          <cell r="D1124" t="str">
            <v>OHADA</v>
          </cell>
          <cell r="E1124" t="str">
            <v>660000 - Charges de personnel - OHADA</v>
          </cell>
          <cell r="F1124">
            <v>666000</v>
          </cell>
          <cell r="G1124" t="str">
            <v>1</v>
          </cell>
          <cell r="H1124" t="str">
            <v>Expense</v>
          </cell>
          <cell r="I1124" t="str">
            <v>Profit and Loss</v>
          </cell>
          <cell r="J1124" t="str">
            <v>XAF</v>
          </cell>
          <cell r="K1124" t="str">
            <v>Charges de personnel</v>
          </cell>
        </row>
        <row r="1125">
          <cell r="A1125" t="str">
            <v>A1124</v>
          </cell>
          <cell r="B1125" t="str">
            <v>"666100 - Rémunération du travail de l’exploitant - OHADA"</v>
          </cell>
          <cell r="C1125" t="str">
            <v>Rémunération du travail de l’exploitant</v>
          </cell>
          <cell r="D1125" t="str">
            <v>OHADA</v>
          </cell>
          <cell r="E1125" t="str">
            <v>666000 - Rémunérations et charges sociales de l’exploitant individuel - OHADA</v>
          </cell>
          <cell r="F1125">
            <v>666100</v>
          </cell>
          <cell r="G1125" t="str">
            <v>0</v>
          </cell>
          <cell r="H1125" t="str">
            <v>Expense</v>
          </cell>
          <cell r="I1125" t="str">
            <v>Profit and Loss</v>
          </cell>
          <cell r="J1125" t="str">
            <v>XAF</v>
          </cell>
          <cell r="K1125" t="str">
            <v>Charges de personnel</v>
          </cell>
        </row>
        <row r="1126">
          <cell r="A1126" t="str">
            <v>A1125</v>
          </cell>
          <cell r="B1126" t="str">
            <v>"666200 - Charges sociales - OHADA"</v>
          </cell>
          <cell r="C1126" t="str">
            <v>Charges sociales</v>
          </cell>
          <cell r="D1126" t="str">
            <v>OHADA</v>
          </cell>
          <cell r="E1126" t="str">
            <v>666000 - Rémunérations et charges sociales de l’exploitant individuel - OHADA</v>
          </cell>
          <cell r="F1126">
            <v>666200</v>
          </cell>
          <cell r="G1126" t="str">
            <v>0</v>
          </cell>
          <cell r="H1126" t="str">
            <v>Expense</v>
          </cell>
          <cell r="I1126" t="str">
            <v>Profit and Loss</v>
          </cell>
          <cell r="J1126" t="str">
            <v>XAF</v>
          </cell>
          <cell r="K1126" t="str">
            <v>Charges de personnel</v>
          </cell>
        </row>
        <row r="1127">
          <cell r="A1127" t="str">
            <v>A1126</v>
          </cell>
          <cell r="B1127" t="str">
            <v>"667000 - Rémunération transférée de personnel extérieur - OHADA"</v>
          </cell>
          <cell r="C1127" t="str">
            <v>Rémunération transférée de personnel extérieur</v>
          </cell>
          <cell r="D1127" t="str">
            <v>OHADA</v>
          </cell>
          <cell r="E1127" t="str">
            <v>660000 - Charges de personnel - OHADA</v>
          </cell>
          <cell r="F1127">
            <v>667000</v>
          </cell>
          <cell r="G1127" t="str">
            <v>1</v>
          </cell>
          <cell r="H1127" t="str">
            <v>Expense</v>
          </cell>
          <cell r="I1127" t="str">
            <v>Profit and Loss</v>
          </cell>
          <cell r="J1127" t="str">
            <v>XAF</v>
          </cell>
          <cell r="K1127" t="str">
            <v>Charges de personnel</v>
          </cell>
        </row>
        <row r="1128">
          <cell r="A1128" t="str">
            <v>A1127</v>
          </cell>
          <cell r="B1128" t="str">
            <v>"667100 - Personnel intérimaire - OHADA"</v>
          </cell>
          <cell r="C1128" t="str">
            <v>Personnel intérimaire</v>
          </cell>
          <cell r="D1128" t="str">
            <v>OHADA</v>
          </cell>
          <cell r="E1128" t="str">
            <v>667000 - Rémunération transférée de personnel extérieur - OHADA</v>
          </cell>
          <cell r="F1128">
            <v>667100</v>
          </cell>
          <cell r="G1128" t="str">
            <v>0</v>
          </cell>
          <cell r="H1128" t="str">
            <v>Expense</v>
          </cell>
          <cell r="I1128" t="str">
            <v>Profit and Loss</v>
          </cell>
          <cell r="J1128" t="str">
            <v>XAF</v>
          </cell>
          <cell r="K1128" t="str">
            <v>Charges de personnel</v>
          </cell>
        </row>
        <row r="1129">
          <cell r="A1129" t="str">
            <v>A1128</v>
          </cell>
          <cell r="B1129" t="str">
            <v>"667200 - Personnel détaché ou prêté à l’entité - OHADA"</v>
          </cell>
          <cell r="C1129" t="str">
            <v>Personnel détaché ou prêté à l’entité</v>
          </cell>
          <cell r="D1129" t="str">
            <v>OHADA</v>
          </cell>
          <cell r="E1129" t="str">
            <v>667000 - Rémunération transférée de personnel extérieur - OHADA</v>
          </cell>
          <cell r="F1129">
            <v>667200</v>
          </cell>
          <cell r="G1129" t="str">
            <v>0</v>
          </cell>
          <cell r="H1129" t="str">
            <v>Expense</v>
          </cell>
          <cell r="I1129" t="str">
            <v>Profit and Loss</v>
          </cell>
          <cell r="J1129" t="str">
            <v>XAF</v>
          </cell>
          <cell r="K1129" t="str">
            <v>Charges de personnel</v>
          </cell>
        </row>
        <row r="1130">
          <cell r="A1130" t="str">
            <v>A1129</v>
          </cell>
          <cell r="B1130" t="str">
            <v>"668000 - Autres charges sociales - OHADA"</v>
          </cell>
          <cell r="C1130" t="str">
            <v>Autres charges sociales</v>
          </cell>
          <cell r="D1130" t="str">
            <v>OHADA</v>
          </cell>
          <cell r="E1130" t="str">
            <v>660000 - Charges de personnel - OHADA</v>
          </cell>
          <cell r="F1130">
            <v>668000</v>
          </cell>
          <cell r="G1130" t="str">
            <v>1</v>
          </cell>
          <cell r="H1130" t="str">
            <v>Expense</v>
          </cell>
          <cell r="I1130" t="str">
            <v>Profit and Loss</v>
          </cell>
          <cell r="J1130" t="str">
            <v>XAF</v>
          </cell>
          <cell r="K1130" t="str">
            <v>Charges de personnel</v>
          </cell>
        </row>
        <row r="1131">
          <cell r="A1131" t="str">
            <v>A1130</v>
          </cell>
          <cell r="B1131" t="str">
            <v>"668100 - Versements aux syndicats et comités d’entreprise, d’établissement - OHADA"</v>
          </cell>
          <cell r="C1131" t="str">
            <v>Versements aux syndicats et comités d’entreprise, d’établissement</v>
          </cell>
          <cell r="D1131" t="str">
            <v>OHADA</v>
          </cell>
          <cell r="E1131" t="str">
            <v>668000 - Autres charges sociales - OHADA</v>
          </cell>
          <cell r="F1131">
            <v>668100</v>
          </cell>
          <cell r="G1131" t="str">
            <v>0</v>
          </cell>
          <cell r="H1131" t="str">
            <v>Expense</v>
          </cell>
          <cell r="I1131" t="str">
            <v>Profit and Loss</v>
          </cell>
          <cell r="J1131" t="str">
            <v>XAF</v>
          </cell>
          <cell r="K1131" t="str">
            <v>Charges de personnel</v>
          </cell>
        </row>
        <row r="1132">
          <cell r="A1132" t="str">
            <v>A1131</v>
          </cell>
          <cell r="B1132" t="str">
            <v>"668200 - Versements aux comités d’hygiène et de sécurité - OHADA"</v>
          </cell>
          <cell r="C1132" t="str">
            <v>Versements aux comités d’hygiène et de sécurité</v>
          </cell>
          <cell r="D1132" t="str">
            <v>OHADA</v>
          </cell>
          <cell r="E1132" t="str">
            <v>668000 - Autres charges sociales - OHADA</v>
          </cell>
          <cell r="F1132">
            <v>668200</v>
          </cell>
          <cell r="G1132" t="str">
            <v>0</v>
          </cell>
          <cell r="H1132" t="str">
            <v>Expense</v>
          </cell>
          <cell r="I1132" t="str">
            <v>Profit and Loss</v>
          </cell>
          <cell r="J1132" t="str">
            <v>XAF</v>
          </cell>
          <cell r="K1132" t="str">
            <v>Charges de personnel</v>
          </cell>
        </row>
        <row r="1133">
          <cell r="A1133" t="str">
            <v>A1132</v>
          </cell>
          <cell r="B1133" t="str">
            <v>"668300 - Versements et contributions aux autres œuvres sociales - OHADA"</v>
          </cell>
          <cell r="C1133" t="str">
            <v>Versements et contributions aux autres œuvres sociales</v>
          </cell>
          <cell r="D1133" t="str">
            <v>OHADA</v>
          </cell>
          <cell r="E1133" t="str">
            <v>668000 - Autres charges sociales - OHADA</v>
          </cell>
          <cell r="F1133">
            <v>668300</v>
          </cell>
          <cell r="G1133" t="str">
            <v>0</v>
          </cell>
          <cell r="H1133" t="str">
            <v>Expense</v>
          </cell>
          <cell r="I1133" t="str">
            <v>Profit and Loss</v>
          </cell>
          <cell r="J1133" t="str">
            <v>XAF</v>
          </cell>
          <cell r="K1133" t="str">
            <v>Charges de personnel</v>
          </cell>
        </row>
        <row r="1134">
          <cell r="A1134" t="str">
            <v>A1133</v>
          </cell>
          <cell r="B1134" t="str">
            <v>"668400 - Médecine du travail et pharmacie - OHADA"</v>
          </cell>
          <cell r="C1134" t="str">
            <v>Médecine du travail et pharmacie</v>
          </cell>
          <cell r="D1134" t="str">
            <v>OHADA</v>
          </cell>
          <cell r="E1134" t="str">
            <v>668000 - Autres charges sociales - OHADA</v>
          </cell>
          <cell r="F1134">
            <v>668400</v>
          </cell>
          <cell r="G1134" t="str">
            <v>0</v>
          </cell>
          <cell r="H1134" t="str">
            <v>Expense</v>
          </cell>
          <cell r="I1134" t="str">
            <v>Profit and Loss</v>
          </cell>
          <cell r="J1134" t="str">
            <v>XAF</v>
          </cell>
          <cell r="K1134" t="str">
            <v>Charges de personnel</v>
          </cell>
        </row>
        <row r="1135">
          <cell r="A1135" t="str">
            <v>A1134</v>
          </cell>
          <cell r="B1135" t="str">
            <v>"668500 - Assurances et organismes de santé - OHADA"</v>
          </cell>
          <cell r="C1135" t="str">
            <v>Assurances et organismes de santé</v>
          </cell>
          <cell r="D1135" t="str">
            <v>OHADA</v>
          </cell>
          <cell r="E1135" t="str">
            <v>668000 - Autres charges sociales - OHADA</v>
          </cell>
          <cell r="F1135">
            <v>668500</v>
          </cell>
          <cell r="G1135" t="str">
            <v>0</v>
          </cell>
          <cell r="H1135" t="str">
            <v>Expense</v>
          </cell>
          <cell r="I1135" t="str">
            <v>Profit and Loss</v>
          </cell>
          <cell r="J1135" t="str">
            <v>XAF</v>
          </cell>
          <cell r="K1135" t="str">
            <v>Charges de personnel</v>
          </cell>
        </row>
        <row r="1136">
          <cell r="A1136" t="str">
            <v>A1135</v>
          </cell>
          <cell r="B1136" t="str">
            <v>"668600 - Assurances retraite et fonds de pension - OHADA"</v>
          </cell>
          <cell r="C1136" t="str">
            <v>Assurances retraite et fonds de pension</v>
          </cell>
          <cell r="D1136" t="str">
            <v>OHADA</v>
          </cell>
          <cell r="E1136" t="str">
            <v>668000 - Autres charges sociales - OHADA</v>
          </cell>
          <cell r="F1136">
            <v>668600</v>
          </cell>
          <cell r="G1136" t="str">
            <v>0</v>
          </cell>
          <cell r="H1136" t="str">
            <v>Expense</v>
          </cell>
          <cell r="I1136" t="str">
            <v>Profit and Loss</v>
          </cell>
          <cell r="J1136" t="str">
            <v>XAF</v>
          </cell>
          <cell r="K1136" t="str">
            <v>Charges de personnel</v>
          </cell>
        </row>
        <row r="1137">
          <cell r="A1137" t="str">
            <v>A1136</v>
          </cell>
          <cell r="B1137" t="str">
            <v>"668700 - Majorations et pénalités sociales - OHADA"</v>
          </cell>
          <cell r="C1137" t="str">
            <v>Majorations et pénalités sociales</v>
          </cell>
          <cell r="D1137" t="str">
            <v>OHADA</v>
          </cell>
          <cell r="E1137" t="str">
            <v>668000 - Autres charges sociales - OHADA</v>
          </cell>
          <cell r="F1137">
            <v>668700</v>
          </cell>
          <cell r="G1137" t="str">
            <v>0</v>
          </cell>
          <cell r="H1137" t="str">
            <v>Expense</v>
          </cell>
          <cell r="I1137" t="str">
            <v>Profit and Loss</v>
          </cell>
          <cell r="J1137" t="str">
            <v>XAF</v>
          </cell>
          <cell r="K1137" t="str">
            <v>Charges de personnel</v>
          </cell>
        </row>
        <row r="1138">
          <cell r="A1138" t="str">
            <v>A1137</v>
          </cell>
          <cell r="B1138" t="str">
            <v>"668800 - Charges sociales diverses - OHADA"</v>
          </cell>
          <cell r="C1138" t="str">
            <v>Charges sociales diverses</v>
          </cell>
          <cell r="D1138" t="str">
            <v>OHADA</v>
          </cell>
          <cell r="E1138" t="str">
            <v>668000 - Autres charges sociales - OHADA</v>
          </cell>
          <cell r="F1138">
            <v>668800</v>
          </cell>
          <cell r="G1138" t="str">
            <v>0</v>
          </cell>
          <cell r="H1138" t="str">
            <v>Expense</v>
          </cell>
          <cell r="I1138" t="str">
            <v>Profit and Loss</v>
          </cell>
          <cell r="J1138" t="str">
            <v>XAF</v>
          </cell>
          <cell r="K1138" t="str">
            <v>Charges de personnel</v>
          </cell>
        </row>
        <row r="1139">
          <cell r="A1139" t="str">
            <v>A1138</v>
          </cell>
          <cell r="B1139" t="str">
            <v>"670000 - Frais financiers et charges assimilées - OHADA"</v>
          </cell>
          <cell r="C1139" t="str">
            <v>Frais financiers et charges assimilées</v>
          </cell>
          <cell r="D1139" t="str">
            <v>OHADA</v>
          </cell>
          <cell r="E1139" t="str">
            <v>6 - Comptes de charges des activités ordinaires - OHADA</v>
          </cell>
          <cell r="F1139">
            <v>670000</v>
          </cell>
          <cell r="G1139" t="str">
            <v>1</v>
          </cell>
          <cell r="H1139" t="str">
            <v>Expense</v>
          </cell>
          <cell r="I1139" t="str">
            <v>Profit and Loss</v>
          </cell>
          <cell r="J1139" t="str">
            <v>XAF</v>
          </cell>
          <cell r="K1139" t="str">
            <v>Frais financiers et charges assimilées</v>
          </cell>
        </row>
        <row r="1140">
          <cell r="A1140" t="str">
            <v>A1139</v>
          </cell>
          <cell r="B1140" t="str">
            <v>"671000 - Intérêts des emprunts - OHADA"</v>
          </cell>
          <cell r="C1140" t="str">
            <v>Intérêts des emprunts</v>
          </cell>
          <cell r="D1140" t="str">
            <v>OHADA</v>
          </cell>
          <cell r="E1140" t="str">
            <v>670000 - Frais financiers et charges assimilées - OHADA</v>
          </cell>
          <cell r="F1140">
            <v>671000</v>
          </cell>
          <cell r="G1140" t="str">
            <v>1</v>
          </cell>
          <cell r="H1140" t="str">
            <v>Expense</v>
          </cell>
          <cell r="I1140" t="str">
            <v>Profit and Loss</v>
          </cell>
          <cell r="J1140" t="str">
            <v>XAF</v>
          </cell>
          <cell r="K1140" t="str">
            <v>Frais financiers et charges assimilées</v>
          </cell>
        </row>
        <row r="1141">
          <cell r="A1141" t="str">
            <v>A1140</v>
          </cell>
          <cell r="B1141" t="str">
            <v>"671100 - Emprunts obligataires - OHADA"</v>
          </cell>
          <cell r="C1141" t="str">
            <v>Emprunts obligataires</v>
          </cell>
          <cell r="D1141" t="str">
            <v>OHADA</v>
          </cell>
          <cell r="E1141" t="str">
            <v>671000 - Intérêts des emprunts - OHADA</v>
          </cell>
          <cell r="F1141">
            <v>671100</v>
          </cell>
          <cell r="G1141" t="str">
            <v>0</v>
          </cell>
          <cell r="H1141" t="str">
            <v>Expense</v>
          </cell>
          <cell r="I1141" t="str">
            <v>Profit and Loss</v>
          </cell>
          <cell r="J1141" t="str">
            <v>XAF</v>
          </cell>
          <cell r="K1141" t="str">
            <v>Frais financiers et charges assimilées</v>
          </cell>
        </row>
        <row r="1142">
          <cell r="A1142" t="str">
            <v>A1141</v>
          </cell>
          <cell r="B1142" t="str">
            <v>"671200 - Emprunts auprès des établissements de crédit - OHADA"</v>
          </cell>
          <cell r="C1142" t="str">
            <v>Emprunts auprès des établissements de crédit</v>
          </cell>
          <cell r="D1142" t="str">
            <v>OHADA</v>
          </cell>
          <cell r="E1142" t="str">
            <v>671000 - Intérêts des emprunts - OHADA</v>
          </cell>
          <cell r="F1142">
            <v>671200</v>
          </cell>
          <cell r="G1142" t="str">
            <v>0</v>
          </cell>
          <cell r="H1142" t="str">
            <v>Expense</v>
          </cell>
          <cell r="I1142" t="str">
            <v>Profit and Loss</v>
          </cell>
          <cell r="J1142" t="str">
            <v>XAF</v>
          </cell>
          <cell r="K1142" t="str">
            <v>Frais financiers et charges assimilées</v>
          </cell>
        </row>
        <row r="1143">
          <cell r="A1143" t="str">
            <v>A1142</v>
          </cell>
          <cell r="B1143" t="str">
            <v>"671300 - Dettes liées à des participations - OHADA"</v>
          </cell>
          <cell r="C1143" t="str">
            <v>Dettes liées à des participations</v>
          </cell>
          <cell r="D1143" t="str">
            <v>OHADA</v>
          </cell>
          <cell r="E1143" t="str">
            <v>671000 - Intérêts des emprunts - OHADA</v>
          </cell>
          <cell r="F1143">
            <v>671300</v>
          </cell>
          <cell r="G1143" t="str">
            <v>0</v>
          </cell>
          <cell r="H1143" t="str">
            <v>Expense</v>
          </cell>
          <cell r="I1143" t="str">
            <v>Profit and Loss</v>
          </cell>
          <cell r="J1143" t="str">
            <v>XAF</v>
          </cell>
          <cell r="K1143" t="str">
            <v>Frais financiers et charges assimilées</v>
          </cell>
        </row>
        <row r="1144">
          <cell r="A1144" t="str">
            <v>A1143</v>
          </cell>
          <cell r="B1144" t="str">
            <v>"671400 - Primes de remboursement des obligations - OHADA"</v>
          </cell>
          <cell r="C1144" t="str">
            <v>Primes de remboursement des obligations</v>
          </cell>
          <cell r="D1144" t="str">
            <v>OHADA</v>
          </cell>
          <cell r="E1144" t="str">
            <v>671000 - Intérêts des emprunts - OHADA</v>
          </cell>
          <cell r="F1144">
            <v>671400</v>
          </cell>
          <cell r="G1144" t="str">
            <v>0</v>
          </cell>
          <cell r="H1144" t="str">
            <v>Expense</v>
          </cell>
          <cell r="I1144" t="str">
            <v>Profit and Loss</v>
          </cell>
          <cell r="J1144" t="str">
            <v>XAF</v>
          </cell>
          <cell r="K1144" t="str">
            <v>Frais financiers et charges assimilées</v>
          </cell>
        </row>
        <row r="1145">
          <cell r="A1145" t="str">
            <v>A1144</v>
          </cell>
          <cell r="B1145" t="str">
            <v>"672000 - Intérêts dans loyers de location acquisition - OHADA"</v>
          </cell>
          <cell r="C1145" t="str">
            <v>Intérêts dans loyers de location acquisition</v>
          </cell>
          <cell r="D1145" t="str">
            <v>OHADA</v>
          </cell>
          <cell r="E1145" t="str">
            <v>670000 - Frais financiers et charges assimilées - OHADA</v>
          </cell>
          <cell r="F1145">
            <v>672000</v>
          </cell>
          <cell r="G1145" t="str">
            <v>1</v>
          </cell>
          <cell r="H1145" t="str">
            <v>Expense</v>
          </cell>
          <cell r="I1145" t="str">
            <v>Profit and Loss</v>
          </cell>
          <cell r="J1145" t="str">
            <v>XAF</v>
          </cell>
          <cell r="K1145" t="str">
            <v>Frais financiers et charges assimilées</v>
          </cell>
        </row>
        <row r="1146">
          <cell r="A1146" t="str">
            <v>A1145</v>
          </cell>
          <cell r="B1146" t="str">
            <v>"672200 - Intérêts dans loyers de location acquisition / crédit - bail immobilier - OHADA"</v>
          </cell>
          <cell r="C1146" t="str">
            <v>Intérêts dans loyers de location acquisition / crédit-bail immobilier</v>
          </cell>
          <cell r="D1146" t="str">
            <v>OHADA</v>
          </cell>
          <cell r="E1146" t="str">
            <v>672000 - Intérêts dans loyers de location acquisition - OHADA</v>
          </cell>
          <cell r="F1146">
            <v>672200</v>
          </cell>
          <cell r="G1146" t="str">
            <v>0</v>
          </cell>
          <cell r="H1146" t="str">
            <v>Expense</v>
          </cell>
          <cell r="I1146" t="str">
            <v>Profit and Loss</v>
          </cell>
          <cell r="J1146" t="str">
            <v>XAF</v>
          </cell>
          <cell r="K1146" t="str">
            <v>Frais financiers et charges assimilées</v>
          </cell>
        </row>
        <row r="1147">
          <cell r="A1147" t="str">
            <v>A1146</v>
          </cell>
          <cell r="B1147" t="str">
            <v>"672300 - Intérêts dans loyers de location acquisition / crédit - bail mobilier - OHADA"</v>
          </cell>
          <cell r="C1147" t="str">
            <v>Intérêts dans loyers de location acquisition / crédit-bail mobilier</v>
          </cell>
          <cell r="D1147" t="str">
            <v>OHADA</v>
          </cell>
          <cell r="E1147" t="str">
            <v>672000 - Intérêts dans loyers de location acquisition - OHADA</v>
          </cell>
          <cell r="F1147">
            <v>672300</v>
          </cell>
          <cell r="G1147" t="str">
            <v>0</v>
          </cell>
          <cell r="H1147" t="str">
            <v>Expense</v>
          </cell>
          <cell r="I1147" t="str">
            <v>Profit and Loss</v>
          </cell>
          <cell r="J1147" t="str">
            <v>XAF</v>
          </cell>
          <cell r="K1147" t="str">
            <v>Frais financiers et charges assimilées</v>
          </cell>
        </row>
        <row r="1148">
          <cell r="A1148" t="str">
            <v>A1147</v>
          </cell>
          <cell r="B1148" t="str">
            <v>"672400 - Intérêts dans loyers de location acquisition / location - vente - OHADA"</v>
          </cell>
          <cell r="C1148" t="str">
            <v>Intérêts dans loyers de location acquisition / location-vente</v>
          </cell>
          <cell r="D1148" t="str">
            <v>OHADA</v>
          </cell>
          <cell r="E1148" t="str">
            <v>672000 - Intérêts dans loyers de location acquisition - OHADA</v>
          </cell>
          <cell r="F1148">
            <v>672400</v>
          </cell>
          <cell r="G1148" t="str">
            <v>0</v>
          </cell>
          <cell r="H1148" t="str">
            <v>Expense</v>
          </cell>
          <cell r="I1148" t="str">
            <v>Profit and Loss</v>
          </cell>
          <cell r="J1148" t="str">
            <v>XAF</v>
          </cell>
          <cell r="K1148" t="str">
            <v>Frais financiers et charges assimilées</v>
          </cell>
        </row>
        <row r="1149">
          <cell r="A1149" t="str">
            <v>A1148</v>
          </cell>
          <cell r="B1149" t="str">
            <v>"672800 - Intérêts dans loyers des autres locations acquisition - OHADA"</v>
          </cell>
          <cell r="C1149" t="str">
            <v>Intérêts dans loyers des autres locations acquisition</v>
          </cell>
          <cell r="D1149" t="str">
            <v>OHADA</v>
          </cell>
          <cell r="E1149" t="str">
            <v>672000 - Intérêts dans loyers de location acquisition - OHADA</v>
          </cell>
          <cell r="F1149">
            <v>672800</v>
          </cell>
          <cell r="G1149" t="str">
            <v>0</v>
          </cell>
          <cell r="H1149" t="str">
            <v>Expense</v>
          </cell>
          <cell r="I1149" t="str">
            <v>Profit and Loss</v>
          </cell>
          <cell r="J1149" t="str">
            <v>XAF</v>
          </cell>
          <cell r="K1149" t="str">
            <v>Frais financiers et charges assimilées</v>
          </cell>
        </row>
        <row r="1150">
          <cell r="A1150" t="str">
            <v>A1149</v>
          </cell>
          <cell r="B1150" t="str">
            <v>"673000 - Escomptes accordés - OHADA"</v>
          </cell>
          <cell r="C1150" t="str">
            <v>Escomptes accordés</v>
          </cell>
          <cell r="D1150" t="str">
            <v>OHADA</v>
          </cell>
          <cell r="E1150" t="str">
            <v>670000 - Frais financiers et charges assimilées - OHADA</v>
          </cell>
          <cell r="F1150">
            <v>673000</v>
          </cell>
          <cell r="G1150" t="str">
            <v>0</v>
          </cell>
          <cell r="H1150" t="str">
            <v>Expense</v>
          </cell>
          <cell r="I1150" t="str">
            <v>Profit and Loss</v>
          </cell>
          <cell r="J1150" t="str">
            <v>XAF</v>
          </cell>
          <cell r="K1150" t="str">
            <v>Frais financiers et charges assimilées</v>
          </cell>
        </row>
        <row r="1151">
          <cell r="A1151" t="str">
            <v>A1150</v>
          </cell>
          <cell r="B1151" t="str">
            <v>"674000 - Autres intérêts - OHADA"</v>
          </cell>
          <cell r="C1151" t="str">
            <v>Autres intérêts</v>
          </cell>
          <cell r="D1151" t="str">
            <v>OHADA</v>
          </cell>
          <cell r="E1151" t="str">
            <v>670000 - Frais financiers et charges assimilées - OHADA</v>
          </cell>
          <cell r="F1151">
            <v>674000</v>
          </cell>
          <cell r="G1151" t="str">
            <v>1</v>
          </cell>
          <cell r="H1151" t="str">
            <v>Expense</v>
          </cell>
          <cell r="I1151" t="str">
            <v>Profit and Loss</v>
          </cell>
          <cell r="J1151" t="str">
            <v>XAF</v>
          </cell>
          <cell r="K1151" t="str">
            <v>Frais financiers et charges assimilées</v>
          </cell>
        </row>
        <row r="1152">
          <cell r="A1152" t="str">
            <v>A1151</v>
          </cell>
          <cell r="B1152" t="str">
            <v>"674100 - Avances reçues et dépôts créditeurs - OHADA"</v>
          </cell>
          <cell r="C1152" t="str">
            <v>Avances reçues et dépôts créditeurs</v>
          </cell>
          <cell r="D1152" t="str">
            <v>OHADA</v>
          </cell>
          <cell r="E1152" t="str">
            <v>674000 - Autres intérêts - OHADA</v>
          </cell>
          <cell r="F1152">
            <v>674100</v>
          </cell>
          <cell r="G1152" t="str">
            <v>0</v>
          </cell>
          <cell r="H1152" t="str">
            <v>Expense</v>
          </cell>
          <cell r="I1152" t="str">
            <v>Profit and Loss</v>
          </cell>
          <cell r="J1152" t="str">
            <v>XAF</v>
          </cell>
          <cell r="K1152" t="str">
            <v>Frais financiers et charges assimilées</v>
          </cell>
        </row>
        <row r="1153">
          <cell r="A1153" t="str">
            <v>A1152</v>
          </cell>
          <cell r="B1153" t="str">
            <v>"674200 - Comptes courants bloqués - OHADA"</v>
          </cell>
          <cell r="C1153" t="str">
            <v>Comptes courants bloqués</v>
          </cell>
          <cell r="D1153" t="str">
            <v>OHADA</v>
          </cell>
          <cell r="E1153" t="str">
            <v>674000 - Autres intérêts - OHADA</v>
          </cell>
          <cell r="F1153">
            <v>674200</v>
          </cell>
          <cell r="G1153" t="str">
            <v>0</v>
          </cell>
          <cell r="H1153" t="str">
            <v>Expense</v>
          </cell>
          <cell r="I1153" t="str">
            <v>Profit and Loss</v>
          </cell>
          <cell r="J1153" t="str">
            <v>XAF</v>
          </cell>
          <cell r="K1153" t="str">
            <v>Frais financiers et charges assimilées</v>
          </cell>
        </row>
        <row r="1154">
          <cell r="A1154" t="str">
            <v>A1153</v>
          </cell>
          <cell r="B1154" t="str">
            <v>"674300 - Intérêts sur obligations cautionnées - OHADA"</v>
          </cell>
          <cell r="C1154" t="str">
            <v>Intérêts sur obligations cautionnées</v>
          </cell>
          <cell r="D1154" t="str">
            <v>OHADA</v>
          </cell>
          <cell r="E1154" t="str">
            <v>674000 - Autres intérêts - OHADA</v>
          </cell>
          <cell r="F1154">
            <v>674300</v>
          </cell>
          <cell r="G1154" t="str">
            <v>0</v>
          </cell>
          <cell r="H1154" t="str">
            <v>Expense</v>
          </cell>
          <cell r="I1154" t="str">
            <v>Profit and Loss</v>
          </cell>
          <cell r="J1154" t="str">
            <v>XAF</v>
          </cell>
          <cell r="K1154" t="str">
            <v>Frais financiers et charges assimilées</v>
          </cell>
        </row>
        <row r="1155">
          <cell r="A1155" t="str">
            <v>A1154</v>
          </cell>
          <cell r="B1155" t="str">
            <v>"674400 - Intérêts sur dettes commerciales - OHADA"</v>
          </cell>
          <cell r="C1155" t="str">
            <v>Intérêts sur dettes commerciales</v>
          </cell>
          <cell r="D1155" t="str">
            <v>OHADA</v>
          </cell>
          <cell r="E1155" t="str">
            <v>674000 - Autres intérêts - OHADA</v>
          </cell>
          <cell r="F1155">
            <v>674400</v>
          </cell>
          <cell r="G1155" t="str">
            <v>0</v>
          </cell>
          <cell r="H1155" t="str">
            <v>Expense</v>
          </cell>
          <cell r="I1155" t="str">
            <v>Profit and Loss</v>
          </cell>
          <cell r="J1155" t="str">
            <v>XAF</v>
          </cell>
          <cell r="K1155" t="str">
            <v>Frais financiers et charges assimilées</v>
          </cell>
        </row>
        <row r="1156">
          <cell r="A1156" t="str">
            <v>A1155</v>
          </cell>
          <cell r="B1156" t="str">
            <v>"674500 - Intérêts bancaires et sur opérations de financement (escompte...) - OHADA"</v>
          </cell>
          <cell r="C1156" t="str">
            <v>Intérêts bancaires et sur opérations de financement (escompte...)</v>
          </cell>
          <cell r="D1156" t="str">
            <v>OHADA</v>
          </cell>
          <cell r="E1156" t="str">
            <v>674000 - Autres intérêts - OHADA</v>
          </cell>
          <cell r="F1156">
            <v>674500</v>
          </cell>
          <cell r="G1156" t="str">
            <v>0</v>
          </cell>
          <cell r="H1156" t="str">
            <v>Expense</v>
          </cell>
          <cell r="I1156" t="str">
            <v>Profit and Loss</v>
          </cell>
          <cell r="J1156" t="str">
            <v>XAF</v>
          </cell>
          <cell r="K1156" t="str">
            <v>Frais financiers et charges assimilées</v>
          </cell>
        </row>
        <row r="1157">
          <cell r="A1157" t="str">
            <v>A1156</v>
          </cell>
          <cell r="B1157" t="str">
            <v>"674800 - Intérêts sur dettes diverses - OHADA"</v>
          </cell>
          <cell r="C1157" t="str">
            <v>Intérêts sur dettes diverses</v>
          </cell>
          <cell r="D1157" t="str">
            <v>OHADA</v>
          </cell>
          <cell r="E1157" t="str">
            <v>674000 - Autres intérêts - OHADA</v>
          </cell>
          <cell r="F1157">
            <v>674800</v>
          </cell>
          <cell r="G1157" t="str">
            <v>0</v>
          </cell>
          <cell r="H1157" t="str">
            <v>Expense</v>
          </cell>
          <cell r="I1157" t="str">
            <v>Profit and Loss</v>
          </cell>
          <cell r="J1157" t="str">
            <v>XAF</v>
          </cell>
          <cell r="K1157" t="str">
            <v>Frais financiers et charges assimilées</v>
          </cell>
        </row>
        <row r="1158">
          <cell r="A1158" t="str">
            <v>A1157</v>
          </cell>
          <cell r="B1158" t="str">
            <v>"675000 - Escomptes des effets de commerce - OHADA"</v>
          </cell>
          <cell r="C1158" t="str">
            <v>Escomptes des effets de commerce</v>
          </cell>
          <cell r="D1158" t="str">
            <v>OHADA</v>
          </cell>
          <cell r="E1158" t="str">
            <v>670000 - Frais financiers et charges assimilées - OHADA</v>
          </cell>
          <cell r="F1158">
            <v>675000</v>
          </cell>
          <cell r="G1158" t="str">
            <v>0</v>
          </cell>
          <cell r="H1158" t="str">
            <v>Expense</v>
          </cell>
          <cell r="I1158" t="str">
            <v>Profit and Loss</v>
          </cell>
          <cell r="J1158" t="str">
            <v>XAF</v>
          </cell>
          <cell r="K1158" t="str">
            <v>Frais financiers et charges assimilées</v>
          </cell>
        </row>
        <row r="1159">
          <cell r="A1159" t="str">
            <v>A1158</v>
          </cell>
          <cell r="B1159" t="str">
            <v>"676000 - Pertes de change financières - OHADA"</v>
          </cell>
          <cell r="C1159" t="str">
            <v>Pertes de change financières</v>
          </cell>
          <cell r="D1159" t="str">
            <v>OHADA</v>
          </cell>
          <cell r="E1159" t="str">
            <v>670000 - Frais financiers et charges assimilées - OHADA</v>
          </cell>
          <cell r="F1159">
            <v>676000</v>
          </cell>
          <cell r="G1159" t="str">
            <v>0</v>
          </cell>
          <cell r="H1159" t="str">
            <v>Expense</v>
          </cell>
          <cell r="I1159" t="str">
            <v>Profit and Loss</v>
          </cell>
          <cell r="J1159" t="str">
            <v>XAF</v>
          </cell>
          <cell r="K1159" t="str">
            <v>Frais financiers et charges assimilées</v>
          </cell>
        </row>
        <row r="1160">
          <cell r="A1160" t="str">
            <v>A1159</v>
          </cell>
          <cell r="B1160" t="str">
            <v>"677000 - Pertes sur titres de placement - OHADA"</v>
          </cell>
          <cell r="C1160" t="str">
            <v>Pertes sur titres de placement</v>
          </cell>
          <cell r="D1160" t="str">
            <v>OHADA</v>
          </cell>
          <cell r="E1160" t="str">
            <v>670000 - Frais financiers et charges assimilées - OHADA</v>
          </cell>
          <cell r="F1160">
            <v>677000</v>
          </cell>
          <cell r="G1160" t="str">
            <v>1</v>
          </cell>
          <cell r="H1160" t="str">
            <v>Expense</v>
          </cell>
          <cell r="I1160" t="str">
            <v>Profit and Loss</v>
          </cell>
          <cell r="J1160" t="str">
            <v>XAF</v>
          </cell>
          <cell r="K1160" t="str">
            <v>Frais financiers et charges assimilées</v>
          </cell>
        </row>
        <row r="1161">
          <cell r="A1161" t="str">
            <v>A1160</v>
          </cell>
          <cell r="B1161" t="str">
            <v>"677100 - Pertes sur cessions de titres de placement - OHADA"</v>
          </cell>
          <cell r="C1161" t="str">
            <v>Pertes sur cessions de titres de placement</v>
          </cell>
          <cell r="D1161" t="str">
            <v>OHADA</v>
          </cell>
          <cell r="E1161" t="str">
            <v>677000 - Pertes sur titres de placement - OHADA</v>
          </cell>
          <cell r="F1161">
            <v>677100</v>
          </cell>
          <cell r="G1161" t="str">
            <v>0</v>
          </cell>
          <cell r="H1161" t="str">
            <v>Expense</v>
          </cell>
          <cell r="I1161" t="str">
            <v>Profit and Loss</v>
          </cell>
          <cell r="J1161" t="str">
            <v>XAF</v>
          </cell>
          <cell r="K1161" t="str">
            <v>Frais financiers et charges assimilées</v>
          </cell>
        </row>
        <row r="1162">
          <cell r="A1162" t="str">
            <v>A1161</v>
          </cell>
          <cell r="B1162" t="str">
            <v>"677200 - Mali provenant d’attribution gratuite d’actions au personnel salarié et aux dirigeants - OHADA"</v>
          </cell>
          <cell r="C1162" t="str">
            <v>Mali provenant d’attribution gratuite d’actions au personnel salarié et aux dirigeants</v>
          </cell>
          <cell r="D1162" t="str">
            <v>OHADA</v>
          </cell>
          <cell r="E1162" t="str">
            <v>677000 - Pertes sur titres de placement - OHADA</v>
          </cell>
          <cell r="F1162">
            <v>677200</v>
          </cell>
          <cell r="G1162" t="str">
            <v>0</v>
          </cell>
          <cell r="H1162" t="str">
            <v>Expense</v>
          </cell>
          <cell r="I1162" t="str">
            <v>Profit and Loss</v>
          </cell>
          <cell r="J1162" t="str">
            <v>XAF</v>
          </cell>
          <cell r="K1162" t="str">
            <v>Frais financiers et charges assimilées</v>
          </cell>
        </row>
        <row r="1163">
          <cell r="A1163" t="str">
            <v>A1162</v>
          </cell>
          <cell r="B1163" t="str">
            <v>"678000 - Pertes et charges sur risques financiers - OHADA"</v>
          </cell>
          <cell r="C1163" t="str">
            <v>Pertes et charges sur risques financiers</v>
          </cell>
          <cell r="D1163" t="str">
            <v>OHADA</v>
          </cell>
          <cell r="E1163" t="str">
            <v>670000 - Frais financiers et charges assimilées - OHADA</v>
          </cell>
          <cell r="F1163">
            <v>678000</v>
          </cell>
          <cell r="G1163" t="str">
            <v>1</v>
          </cell>
          <cell r="H1163" t="str">
            <v>Expense</v>
          </cell>
          <cell r="I1163" t="str">
            <v>Profit and Loss</v>
          </cell>
          <cell r="J1163" t="str">
            <v>XAF</v>
          </cell>
          <cell r="K1163" t="str">
            <v>Frais financiers et charges assimilées</v>
          </cell>
        </row>
        <row r="1164">
          <cell r="A1164" t="str">
            <v>A1163</v>
          </cell>
          <cell r="B1164" t="str">
            <v>"678100 - Sur rentes viagères - OHADA"</v>
          </cell>
          <cell r="C1164" t="str">
            <v>Sur rentes viagères</v>
          </cell>
          <cell r="D1164" t="str">
            <v>OHADA</v>
          </cell>
          <cell r="E1164" t="str">
            <v>678000 - Pertes et charges sur risques financiers - OHADA</v>
          </cell>
          <cell r="F1164">
            <v>678100</v>
          </cell>
          <cell r="G1164" t="str">
            <v>0</v>
          </cell>
          <cell r="H1164" t="str">
            <v>Expense</v>
          </cell>
          <cell r="I1164" t="str">
            <v>Profit and Loss</v>
          </cell>
          <cell r="J1164" t="str">
            <v>XAF</v>
          </cell>
          <cell r="K1164" t="str">
            <v>Frais financiers et charges assimilées</v>
          </cell>
        </row>
        <row r="1165">
          <cell r="A1165" t="str">
            <v>A1164</v>
          </cell>
          <cell r="B1165" t="str">
            <v>"678200 - Sur opérations financières - OHADA"</v>
          </cell>
          <cell r="C1165" t="str">
            <v>Sur opérations financières</v>
          </cell>
          <cell r="D1165" t="str">
            <v>OHADA</v>
          </cell>
          <cell r="E1165" t="str">
            <v>678000 - Pertes et charges sur risques financiers - OHADA</v>
          </cell>
          <cell r="F1165">
            <v>678200</v>
          </cell>
          <cell r="G1165" t="str">
            <v>0</v>
          </cell>
          <cell r="H1165" t="str">
            <v>Expense</v>
          </cell>
          <cell r="I1165" t="str">
            <v>Profit and Loss</v>
          </cell>
          <cell r="J1165" t="str">
            <v>XAF</v>
          </cell>
          <cell r="K1165" t="str">
            <v>Frais financiers et charges assimilées</v>
          </cell>
        </row>
        <row r="1166">
          <cell r="A1166" t="str">
            <v>A1165</v>
          </cell>
          <cell r="B1166" t="str">
            <v>"678400 - Sur instruments de trésorerie - OHADA"</v>
          </cell>
          <cell r="C1166" t="str">
            <v>Sur instruments de trésorerie</v>
          </cell>
          <cell r="D1166" t="str">
            <v>OHADA</v>
          </cell>
          <cell r="E1166" t="str">
            <v>678000 - Pertes et charges sur risques financiers - OHADA</v>
          </cell>
          <cell r="F1166">
            <v>678400</v>
          </cell>
          <cell r="G1166" t="str">
            <v>0</v>
          </cell>
          <cell r="H1166" t="str">
            <v>Expense</v>
          </cell>
          <cell r="I1166" t="str">
            <v>Profit and Loss</v>
          </cell>
          <cell r="J1166" t="str">
            <v>XAF</v>
          </cell>
          <cell r="K1166" t="str">
            <v>Frais financiers et charges assimilées</v>
          </cell>
        </row>
        <row r="1167">
          <cell r="A1167" t="str">
            <v>A1166</v>
          </cell>
          <cell r="B1167" t="str">
            <v>"679000 - Charges pour dépréciations et provisions pour risques à court terme financières - OHADA"</v>
          </cell>
          <cell r="C1167" t="str">
            <v>Charges pour dépréciations et provisions pour risques à court terme financières</v>
          </cell>
          <cell r="D1167" t="str">
            <v>OHADA</v>
          </cell>
          <cell r="E1167" t="str">
            <v>670000 - Frais financiers et charges assimilées - OHADA</v>
          </cell>
          <cell r="F1167">
            <v>679000</v>
          </cell>
          <cell r="G1167" t="str">
            <v>1</v>
          </cell>
          <cell r="H1167" t="str">
            <v>Expense</v>
          </cell>
          <cell r="I1167" t="str">
            <v>Profit and Loss</v>
          </cell>
          <cell r="J1167" t="str">
            <v>XAF</v>
          </cell>
          <cell r="K1167" t="str">
            <v>Frais financiers et charges assimilées</v>
          </cell>
        </row>
        <row r="1168">
          <cell r="A1168" t="str">
            <v>A1167</v>
          </cell>
          <cell r="B1168" t="str">
            <v>"679100 - Sur risques financiers - OHADA"</v>
          </cell>
          <cell r="C1168" t="str">
            <v>Sur risques financiers</v>
          </cell>
          <cell r="D1168" t="str">
            <v>OHADA</v>
          </cell>
          <cell r="E1168" t="str">
            <v>679000 - Charges pour dépréciations et provisions pour risques à court terme financières - OHADA</v>
          </cell>
          <cell r="F1168">
            <v>679100</v>
          </cell>
          <cell r="G1168" t="str">
            <v>0</v>
          </cell>
          <cell r="H1168" t="str">
            <v>Expense</v>
          </cell>
          <cell r="I1168" t="str">
            <v>Profit and Loss</v>
          </cell>
          <cell r="J1168" t="str">
            <v>XAF</v>
          </cell>
          <cell r="K1168" t="str">
            <v>Frais financiers et charges assimilées</v>
          </cell>
        </row>
        <row r="1169">
          <cell r="A1169" t="str">
            <v>A1168</v>
          </cell>
          <cell r="B1169" t="str">
            <v>"679500 - Sur titres de placement - OHADA"</v>
          </cell>
          <cell r="C1169" t="str">
            <v>Sur titres de placement</v>
          </cell>
          <cell r="D1169" t="str">
            <v>OHADA</v>
          </cell>
          <cell r="E1169" t="str">
            <v>679000 - Charges pour dépréciations et provisions pour risques à court terme financières - OHADA</v>
          </cell>
          <cell r="F1169">
            <v>679500</v>
          </cell>
          <cell r="G1169" t="str">
            <v>0</v>
          </cell>
          <cell r="H1169" t="str">
            <v>Expense</v>
          </cell>
          <cell r="I1169" t="str">
            <v>Profit and Loss</v>
          </cell>
          <cell r="J1169" t="str">
            <v>XAF</v>
          </cell>
          <cell r="K1169" t="str">
            <v>Frais financiers et charges assimilées</v>
          </cell>
        </row>
        <row r="1170">
          <cell r="A1170" t="str">
            <v>A1169</v>
          </cell>
          <cell r="B1170" t="str">
            <v>"679800 - Autres charges pour dépréciations et provisions pour risques à court terme financières - OHADA"</v>
          </cell>
          <cell r="C1170" t="str">
            <v>Autres charges pour dépréciations et provisions pour risques à court terme financières</v>
          </cell>
          <cell r="D1170" t="str">
            <v>OHADA</v>
          </cell>
          <cell r="E1170" t="str">
            <v>679000 - Charges pour dépréciations et provisions pour risques à court terme financières - OHADA</v>
          </cell>
          <cell r="F1170">
            <v>679800</v>
          </cell>
          <cell r="G1170" t="str">
            <v>0</v>
          </cell>
          <cell r="H1170" t="str">
            <v>Expense</v>
          </cell>
          <cell r="I1170" t="str">
            <v>Profit and Loss</v>
          </cell>
          <cell r="J1170" t="str">
            <v>XAF</v>
          </cell>
          <cell r="K1170" t="str">
            <v>Frais financiers et charges assimilées</v>
          </cell>
        </row>
        <row r="1171">
          <cell r="A1171" t="str">
            <v>A1170</v>
          </cell>
          <cell r="B1171" t="str">
            <v>"680000 - Dotations aux amortissements - OHADA"</v>
          </cell>
          <cell r="C1171" t="str">
            <v>Dotations aux amortissements</v>
          </cell>
          <cell r="D1171" t="str">
            <v>OHADA</v>
          </cell>
          <cell r="E1171" t="str">
            <v>6 - Comptes de charges des activités ordinaires - OHADA</v>
          </cell>
          <cell r="F1171">
            <v>680000</v>
          </cell>
          <cell r="G1171" t="str">
            <v>1</v>
          </cell>
          <cell r="H1171" t="str">
            <v>Expense</v>
          </cell>
          <cell r="I1171" t="str">
            <v>Profit and Loss</v>
          </cell>
          <cell r="J1171" t="str">
            <v>XAF</v>
          </cell>
          <cell r="K1171" t="str">
            <v>Dotations aux amortissements</v>
          </cell>
        </row>
        <row r="1172">
          <cell r="A1172" t="str">
            <v>A1171</v>
          </cell>
          <cell r="B1172" t="str">
            <v>"681000 - Dotations aux amortissements d’exploitation - OHADA"</v>
          </cell>
          <cell r="C1172" t="str">
            <v>Dotations aux amortissements d’exploitation</v>
          </cell>
          <cell r="D1172" t="str">
            <v>OHADA</v>
          </cell>
          <cell r="E1172" t="str">
            <v>680000 - Dotations aux amortissements - OHADA</v>
          </cell>
          <cell r="F1172">
            <v>681000</v>
          </cell>
          <cell r="G1172" t="str">
            <v>1</v>
          </cell>
          <cell r="H1172" t="str">
            <v>Expense</v>
          </cell>
          <cell r="I1172" t="str">
            <v>Profit and Loss</v>
          </cell>
          <cell r="J1172" t="str">
            <v>XAF</v>
          </cell>
          <cell r="K1172" t="str">
            <v>Dotations aux amortissements, aux provisions et dépréciations</v>
          </cell>
        </row>
        <row r="1173">
          <cell r="A1173" t="str">
            <v>A1172</v>
          </cell>
          <cell r="B1173" t="str">
            <v>"681200 - Dotations aux amortissements des immobilisations incorporelles - OHADA"</v>
          </cell>
          <cell r="C1173" t="str">
            <v>Dotations aux amortissements des immobilisations incorporelles</v>
          </cell>
          <cell r="D1173" t="str">
            <v>OHADA</v>
          </cell>
          <cell r="E1173" t="str">
            <v>681000 - Dotations aux amortissements d’exploitation - OHADA</v>
          </cell>
          <cell r="F1173">
            <v>681200</v>
          </cell>
          <cell r="G1173" t="str">
            <v>0</v>
          </cell>
          <cell r="H1173" t="str">
            <v>Expense</v>
          </cell>
          <cell r="I1173" t="str">
            <v>Profit and Loss</v>
          </cell>
          <cell r="J1173" t="str">
            <v>XAF</v>
          </cell>
          <cell r="K1173" t="str">
            <v>Dotations aux amortissements, aux provisions et dépréciations</v>
          </cell>
        </row>
        <row r="1174">
          <cell r="A1174" t="str">
            <v>A1173</v>
          </cell>
          <cell r="B1174" t="str">
            <v>"681300 - Dotations aux amortissements des immobilisations corporelles - OHADA"</v>
          </cell>
          <cell r="C1174" t="str">
            <v>Dotations aux amortissements des immobilisations corporelles</v>
          </cell>
          <cell r="D1174" t="str">
            <v>OHADA</v>
          </cell>
          <cell r="E1174" t="str">
            <v>681000 - Dotations aux amortissements d’exploitation - OHADA</v>
          </cell>
          <cell r="F1174">
            <v>681300</v>
          </cell>
          <cell r="G1174" t="str">
            <v>0</v>
          </cell>
          <cell r="H1174" t="str">
            <v>Expense</v>
          </cell>
          <cell r="I1174" t="str">
            <v>Profit and Loss</v>
          </cell>
          <cell r="J1174" t="str">
            <v>XAF</v>
          </cell>
          <cell r="K1174" t="str">
            <v>Dotations aux amortissements, aux provisions et dépréciations</v>
          </cell>
        </row>
        <row r="1175">
          <cell r="A1175" t="str">
            <v>A1174</v>
          </cell>
          <cell r="B1175" t="str">
            <v>"690000 - Dotations aux provisions et aux dépréciations - OHADA"</v>
          </cell>
          <cell r="C1175" t="str">
            <v>Dotations aux provisions et aux dépréciations</v>
          </cell>
          <cell r="D1175" t="str">
            <v>OHADA</v>
          </cell>
          <cell r="E1175" t="str">
            <v>6 - Comptes de charges des activités ordinaires - OHADA</v>
          </cell>
          <cell r="F1175">
            <v>690000</v>
          </cell>
          <cell r="G1175" t="str">
            <v>1</v>
          </cell>
          <cell r="H1175" t="str">
            <v>Expense</v>
          </cell>
          <cell r="I1175" t="str">
            <v>Profit and Loss</v>
          </cell>
          <cell r="J1175" t="str">
            <v>XAF</v>
          </cell>
          <cell r="K1175" t="str">
            <v>Dotations aux amortissements, aux provisions et dépréciations</v>
          </cell>
        </row>
        <row r="1176">
          <cell r="A1176" t="str">
            <v>A1175</v>
          </cell>
          <cell r="B1176" t="str">
            <v>"691000 - Dotations aux provisions et aux dépréciations d’exploitation - OHADA"</v>
          </cell>
          <cell r="C1176" t="str">
            <v>Dotations aux provisions et aux dépréciations d’exploitation</v>
          </cell>
          <cell r="D1176" t="str">
            <v>OHADA</v>
          </cell>
          <cell r="E1176" t="str">
            <v>690000 - Dotations aux provisions et aux dépréciations - OHADA</v>
          </cell>
          <cell r="F1176">
            <v>691000</v>
          </cell>
          <cell r="G1176" t="str">
            <v>1</v>
          </cell>
          <cell r="H1176" t="str">
            <v>Expense</v>
          </cell>
          <cell r="I1176" t="str">
            <v>Profit and Loss</v>
          </cell>
          <cell r="J1176" t="str">
            <v>XAF</v>
          </cell>
          <cell r="K1176" t="str">
            <v>Dotations aux amortissements, aux provisions et dépréciations</v>
          </cell>
        </row>
        <row r="1177">
          <cell r="A1177" t="str">
            <v>A1176</v>
          </cell>
          <cell r="B1177" t="str">
            <v>"691100 - Dotations aux provisions pour risques et charges - OHADA"</v>
          </cell>
          <cell r="C1177" t="str">
            <v>Dotations aux provisions pour risques et charges</v>
          </cell>
          <cell r="D1177" t="str">
            <v>OHADA</v>
          </cell>
          <cell r="E1177" t="str">
            <v>691000 - Dotations aux provisions et aux dépréciations d’exploitation - OHADA</v>
          </cell>
          <cell r="F1177">
            <v>691100</v>
          </cell>
          <cell r="G1177" t="str">
            <v>0</v>
          </cell>
          <cell r="H1177" t="str">
            <v>Expense</v>
          </cell>
          <cell r="I1177" t="str">
            <v>Profit and Loss</v>
          </cell>
          <cell r="J1177" t="str">
            <v>XAF</v>
          </cell>
          <cell r="K1177" t="str">
            <v>Dotations aux amortissements, aux provisions et dépréciations</v>
          </cell>
        </row>
        <row r="1178">
          <cell r="A1178" t="str">
            <v>A1177</v>
          </cell>
          <cell r="B1178" t="str">
            <v>"691300 - Dotations aux dépréciations des immobilisations incorporelles - OHADA"</v>
          </cell>
          <cell r="C1178" t="str">
            <v>Dotations aux dépréciations des immobilisations incorporelles</v>
          </cell>
          <cell r="D1178" t="str">
            <v>OHADA</v>
          </cell>
          <cell r="E1178" t="str">
            <v>691000 - Dotations aux provisions et aux dépréciations d’exploitation - OHADA</v>
          </cell>
          <cell r="F1178">
            <v>691300</v>
          </cell>
          <cell r="G1178" t="str">
            <v>0</v>
          </cell>
          <cell r="H1178" t="str">
            <v>Expense</v>
          </cell>
          <cell r="I1178" t="str">
            <v>Profit and Loss</v>
          </cell>
          <cell r="J1178" t="str">
            <v>XAF</v>
          </cell>
          <cell r="K1178" t="str">
            <v>Dotations aux amortissements, aux provisions et dépréciations</v>
          </cell>
        </row>
        <row r="1179">
          <cell r="A1179" t="str">
            <v>A1178</v>
          </cell>
          <cell r="B1179" t="str">
            <v>"691400 - Dotations aux dépréciations des immobilisations corporelles - OHADA"</v>
          </cell>
          <cell r="C1179" t="str">
            <v>Dotations aux dépréciations des immobilisations corporelles</v>
          </cell>
          <cell r="D1179" t="str">
            <v>OHADA</v>
          </cell>
          <cell r="E1179" t="str">
            <v>691000 - Dotations aux provisions et aux dépréciations d’exploitation - OHADA</v>
          </cell>
          <cell r="F1179">
            <v>691400</v>
          </cell>
          <cell r="G1179" t="str">
            <v>0</v>
          </cell>
          <cell r="H1179" t="str">
            <v>Expense</v>
          </cell>
          <cell r="I1179" t="str">
            <v>Profit and Loss</v>
          </cell>
          <cell r="J1179" t="str">
            <v>XAF</v>
          </cell>
          <cell r="K1179" t="str">
            <v>Dotations aux amortissements, aux provisions et dépréciations</v>
          </cell>
        </row>
        <row r="1180">
          <cell r="A1180" t="str">
            <v>A1179</v>
          </cell>
          <cell r="B1180" t="str">
            <v>"697000 - Dotations aux provisions et aux dépréciations financières - OHADA"</v>
          </cell>
          <cell r="C1180" t="str">
            <v>Dotations aux provisions et aux dépréciations financières</v>
          </cell>
          <cell r="D1180" t="str">
            <v>OHADA</v>
          </cell>
          <cell r="E1180" t="str">
            <v>690000 - Dotations aux provisions et aux dépréciations - OHADA</v>
          </cell>
          <cell r="F1180">
            <v>697000</v>
          </cell>
          <cell r="G1180" t="str">
            <v>1</v>
          </cell>
          <cell r="H1180" t="str">
            <v>Expense</v>
          </cell>
          <cell r="I1180" t="str">
            <v>Profit and Loss</v>
          </cell>
          <cell r="J1180" t="str">
            <v>XAF</v>
          </cell>
          <cell r="K1180" t="str">
            <v>Dotations aux provisions et aux dépréciations financières</v>
          </cell>
        </row>
        <row r="1181">
          <cell r="A1181" t="str">
            <v>A1180</v>
          </cell>
          <cell r="B1181" t="str">
            <v>"697100 - Dotations aux provisions pour risques et charges - OHADA"</v>
          </cell>
          <cell r="C1181" t="str">
            <v>Dotations aux provisions pour risques et charges</v>
          </cell>
          <cell r="D1181" t="str">
            <v>OHADA</v>
          </cell>
          <cell r="E1181" t="str">
            <v>697000 - Dotations aux provisions et aux dépréciations financières - OHADA</v>
          </cell>
          <cell r="F1181">
            <v>697100</v>
          </cell>
          <cell r="G1181" t="str">
            <v>0</v>
          </cell>
          <cell r="H1181" t="str">
            <v>Expense</v>
          </cell>
          <cell r="I1181" t="str">
            <v>Profit and Loss</v>
          </cell>
          <cell r="J1181" t="str">
            <v>XAF</v>
          </cell>
          <cell r="K1181" t="str">
            <v>Dotations aux provisions et aux dépréciations financières</v>
          </cell>
        </row>
        <row r="1182">
          <cell r="A1182" t="str">
            <v>A1181</v>
          </cell>
          <cell r="B1182" t="str">
            <v>"697200 - Dotations aux dépréciations des immobilisations financières - OHADA"</v>
          </cell>
          <cell r="C1182" t="str">
            <v>Dotations aux dépréciations des immobilisations financières</v>
          </cell>
          <cell r="D1182" t="str">
            <v>OHADA</v>
          </cell>
          <cell r="E1182" t="str">
            <v>697000 - Dotations aux provisions et aux dépréciations financières - OHADA</v>
          </cell>
          <cell r="F1182">
            <v>697200</v>
          </cell>
          <cell r="G1182" t="str">
            <v>0</v>
          </cell>
          <cell r="H1182" t="str">
            <v>Expense</v>
          </cell>
          <cell r="I1182" t="str">
            <v>Profit and Loss</v>
          </cell>
          <cell r="J1182" t="str">
            <v>XAF</v>
          </cell>
          <cell r="K1182" t="str">
            <v>Dotations aux provisions et aux dépréciations financières</v>
          </cell>
        </row>
        <row r="1183">
          <cell r="A1183" t="str">
            <v>A1182</v>
          </cell>
          <cell r="B1183" t="str">
            <v>7 -  Comptes de produits des activités ordinaires  -  OHADA</v>
          </cell>
          <cell r="C1183" t="str">
            <v>Comptes de produits des activités ordinaires</v>
          </cell>
          <cell r="D1183" t="str">
            <v>OHADA</v>
          </cell>
          <cell r="F1183">
            <v>700000</v>
          </cell>
          <cell r="G1183" t="str">
            <v>1</v>
          </cell>
          <cell r="H1183" t="str">
            <v>Income</v>
          </cell>
          <cell r="I1183" t="str">
            <v>Profit and Loss</v>
          </cell>
          <cell r="J1183" t="str">
            <v>XAF</v>
          </cell>
        </row>
        <row r="1184">
          <cell r="A1184" t="str">
            <v>A1183</v>
          </cell>
          <cell r="B1184" t="str">
            <v>"700000 - Ventes - OHADA"</v>
          </cell>
          <cell r="C1184" t="str">
            <v>Ventes</v>
          </cell>
          <cell r="D1184" t="str">
            <v>OHADA</v>
          </cell>
          <cell r="E1184" t="str">
            <v>7 - Comptes de produits des activités ordinaires - OHADA</v>
          </cell>
          <cell r="F1184">
            <v>700000</v>
          </cell>
          <cell r="G1184" t="str">
            <v>1</v>
          </cell>
          <cell r="H1184" t="str">
            <v>Income</v>
          </cell>
          <cell r="I1184" t="str">
            <v>Profit and Loss</v>
          </cell>
          <cell r="J1184" t="str">
            <v>XAF</v>
          </cell>
        </row>
        <row r="1185">
          <cell r="A1185" t="str">
            <v>A1184</v>
          </cell>
          <cell r="B1185" t="str">
            <v>"701000 - Ventes de marchandises - OHADA"</v>
          </cell>
          <cell r="C1185" t="str">
            <v>Ventes de marchandises</v>
          </cell>
          <cell r="D1185" t="str">
            <v>OHADA</v>
          </cell>
          <cell r="E1185" t="str">
            <v>700000 - Ventes - OHADA</v>
          </cell>
          <cell r="F1185">
            <v>701000</v>
          </cell>
          <cell r="G1185" t="str">
            <v>1</v>
          </cell>
          <cell r="H1185" t="str">
            <v>Income</v>
          </cell>
          <cell r="I1185" t="str">
            <v>Profit and Loss</v>
          </cell>
          <cell r="J1185" t="str">
            <v>XAF</v>
          </cell>
          <cell r="K1185" t="str">
            <v>Ventes de marchandises</v>
          </cell>
        </row>
        <row r="1186">
          <cell r="A1186" t="str">
            <v>A1185</v>
          </cell>
          <cell r="B1186" t="str">
            <v>"701100 - Dans la Région - OHADA"</v>
          </cell>
          <cell r="C1186" t="str">
            <v>Dans la Région</v>
          </cell>
          <cell r="D1186" t="str">
            <v>OHADA</v>
          </cell>
          <cell r="E1186" t="str">
            <v>701000 - Ventes de marchandises - OHADA</v>
          </cell>
          <cell r="F1186">
            <v>701100</v>
          </cell>
          <cell r="G1186" t="str">
            <v>0</v>
          </cell>
          <cell r="H1186" t="str">
            <v>Income</v>
          </cell>
          <cell r="I1186" t="str">
            <v>Profit and Loss</v>
          </cell>
          <cell r="J1186" t="str">
            <v>XAF</v>
          </cell>
          <cell r="K1186" t="str">
            <v>Ventes de marchandises</v>
          </cell>
        </row>
        <row r="1187">
          <cell r="A1187" t="str">
            <v>A1186</v>
          </cell>
          <cell r="B1187" t="str">
            <v>"701200 - Hors Région - OHADA"</v>
          </cell>
          <cell r="C1187" t="str">
            <v>Hors Région</v>
          </cell>
          <cell r="D1187" t="str">
            <v>OHADA</v>
          </cell>
          <cell r="E1187" t="str">
            <v>701000 - Ventes de marchandises - OHADA</v>
          </cell>
          <cell r="F1187">
            <v>701200</v>
          </cell>
          <cell r="G1187" t="str">
            <v>0</v>
          </cell>
          <cell r="H1187" t="str">
            <v>Income</v>
          </cell>
          <cell r="I1187" t="str">
            <v>Profit and Loss</v>
          </cell>
          <cell r="J1187" t="str">
            <v>XAF</v>
          </cell>
          <cell r="K1187" t="str">
            <v>Ventes de marchandises</v>
          </cell>
        </row>
        <row r="1188">
          <cell r="A1188" t="str">
            <v>A1187</v>
          </cell>
          <cell r="B1188" t="str">
            <v>"701300 - Aux entités du groupe dans la Région - OHADA"</v>
          </cell>
          <cell r="C1188" t="str">
            <v>Aux entités du groupe dans la Région</v>
          </cell>
          <cell r="D1188" t="str">
            <v>OHADA</v>
          </cell>
          <cell r="E1188" t="str">
            <v>701000 - Ventes de marchandises - OHADA</v>
          </cell>
          <cell r="F1188">
            <v>701300</v>
          </cell>
          <cell r="G1188" t="str">
            <v>0</v>
          </cell>
          <cell r="H1188" t="str">
            <v>Income</v>
          </cell>
          <cell r="I1188" t="str">
            <v>Profit and Loss</v>
          </cell>
          <cell r="J1188" t="str">
            <v>XAF</v>
          </cell>
          <cell r="K1188" t="str">
            <v>Ventes de marchandises</v>
          </cell>
        </row>
        <row r="1189">
          <cell r="A1189" t="str">
            <v>A1188</v>
          </cell>
          <cell r="B1189" t="str">
            <v>"701400 - Aux entités du groupe hors Région - OHADA"</v>
          </cell>
          <cell r="C1189" t="str">
            <v>Aux entités du groupe hors Région</v>
          </cell>
          <cell r="D1189" t="str">
            <v>OHADA</v>
          </cell>
          <cell r="E1189" t="str">
            <v>701000 - Ventes de marchandises - OHADA</v>
          </cell>
          <cell r="F1189">
            <v>701400</v>
          </cell>
          <cell r="G1189" t="str">
            <v>0</v>
          </cell>
          <cell r="H1189" t="str">
            <v>Income</v>
          </cell>
          <cell r="I1189" t="str">
            <v>Profit and Loss</v>
          </cell>
          <cell r="J1189" t="str">
            <v>XAF</v>
          </cell>
          <cell r="K1189" t="str">
            <v>Ventes de marchandises</v>
          </cell>
        </row>
        <row r="1190">
          <cell r="A1190" t="str">
            <v>A1189</v>
          </cell>
          <cell r="B1190" t="str">
            <v>"701500 - Sur internet - OHADA"</v>
          </cell>
          <cell r="C1190" t="str">
            <v>Sur internet</v>
          </cell>
          <cell r="D1190" t="str">
            <v>OHADA</v>
          </cell>
          <cell r="E1190" t="str">
            <v>701000 - Ventes de marchandises - OHADA</v>
          </cell>
          <cell r="F1190">
            <v>701500</v>
          </cell>
          <cell r="G1190" t="str">
            <v>0</v>
          </cell>
          <cell r="H1190" t="str">
            <v>Income</v>
          </cell>
          <cell r="I1190" t="str">
            <v>Profit and Loss</v>
          </cell>
          <cell r="J1190" t="str">
            <v>XAF</v>
          </cell>
          <cell r="K1190" t="str">
            <v>Ventes de marchandises</v>
          </cell>
        </row>
        <row r="1191">
          <cell r="A1191" t="str">
            <v>A1190</v>
          </cell>
          <cell r="B1191" t="str">
            <v>"701900 - Rabais, remises, ristournes accordés (non ventilés) - OHADA"</v>
          </cell>
          <cell r="C1191" t="str">
            <v>Rabais, remises, ristournes accordés (non ventilés)</v>
          </cell>
          <cell r="D1191" t="str">
            <v>OHADA</v>
          </cell>
          <cell r="E1191" t="str">
            <v>701000 - Ventes de marchandises - OHADA</v>
          </cell>
          <cell r="F1191">
            <v>701900</v>
          </cell>
          <cell r="G1191" t="str">
            <v>0</v>
          </cell>
          <cell r="H1191" t="str">
            <v>Income</v>
          </cell>
          <cell r="I1191" t="str">
            <v>Profit and Loss</v>
          </cell>
          <cell r="J1191" t="str">
            <v>XAF</v>
          </cell>
          <cell r="K1191" t="str">
            <v>Ventes de marchandises</v>
          </cell>
        </row>
        <row r="1192">
          <cell r="A1192" t="str">
            <v>A1191</v>
          </cell>
          <cell r="B1192" t="str">
            <v>"702000 - Ventes de produits finis - OHADA"</v>
          </cell>
          <cell r="C1192" t="str">
            <v>Ventes de produits finis</v>
          </cell>
          <cell r="D1192" t="str">
            <v>OHADA</v>
          </cell>
          <cell r="E1192" t="str">
            <v>700000 - Ventes - OHADA</v>
          </cell>
          <cell r="F1192">
            <v>702000</v>
          </cell>
          <cell r="G1192" t="str">
            <v>1</v>
          </cell>
          <cell r="H1192" t="str">
            <v>Income</v>
          </cell>
          <cell r="I1192" t="str">
            <v>Profit and Loss</v>
          </cell>
          <cell r="J1192" t="str">
            <v>XAF</v>
          </cell>
          <cell r="K1192" t="str">
            <v>Vente de produits fabriqués</v>
          </cell>
        </row>
        <row r="1193">
          <cell r="A1193" t="str">
            <v>A1192</v>
          </cell>
          <cell r="B1193" t="str">
            <v>"702100 - Dans la Région - OHADA"</v>
          </cell>
          <cell r="C1193" t="str">
            <v>Dans la Région</v>
          </cell>
          <cell r="D1193" t="str">
            <v>OHADA</v>
          </cell>
          <cell r="E1193" t="str">
            <v>702000 - Ventes de produits finis - OHADA</v>
          </cell>
          <cell r="F1193">
            <v>702100</v>
          </cell>
          <cell r="G1193" t="str">
            <v>0</v>
          </cell>
          <cell r="H1193" t="str">
            <v>Income</v>
          </cell>
          <cell r="I1193" t="str">
            <v>Profit and Loss</v>
          </cell>
          <cell r="J1193" t="str">
            <v>XAF</v>
          </cell>
          <cell r="K1193" t="str">
            <v>Vente de produits fabriqués</v>
          </cell>
        </row>
        <row r="1194">
          <cell r="A1194" t="str">
            <v>A1193</v>
          </cell>
          <cell r="B1194" t="str">
            <v>"702200 - Hors Région - OHADA"</v>
          </cell>
          <cell r="C1194" t="str">
            <v>Hors Région</v>
          </cell>
          <cell r="D1194" t="str">
            <v>OHADA</v>
          </cell>
          <cell r="E1194" t="str">
            <v>702000 - Ventes de produits finis - OHADA</v>
          </cell>
          <cell r="F1194">
            <v>702200</v>
          </cell>
          <cell r="G1194" t="str">
            <v>0</v>
          </cell>
          <cell r="H1194" t="str">
            <v>Income</v>
          </cell>
          <cell r="I1194" t="str">
            <v>Profit and Loss</v>
          </cell>
          <cell r="J1194" t="str">
            <v>XAF</v>
          </cell>
          <cell r="K1194" t="str">
            <v>Vente de produits fabriqués</v>
          </cell>
        </row>
        <row r="1195">
          <cell r="A1195" t="str">
            <v>A1194</v>
          </cell>
          <cell r="B1195" t="str">
            <v>"702300 - Aux entités du groupe dans la Région - OHADA"</v>
          </cell>
          <cell r="C1195" t="str">
            <v>Aux entités du groupe dans la Région</v>
          </cell>
          <cell r="D1195" t="str">
            <v>OHADA</v>
          </cell>
          <cell r="E1195" t="str">
            <v>702000 - Ventes de produits finis - OHADA</v>
          </cell>
          <cell r="F1195">
            <v>702300</v>
          </cell>
          <cell r="G1195" t="str">
            <v>0</v>
          </cell>
          <cell r="H1195" t="str">
            <v>Income</v>
          </cell>
          <cell r="I1195" t="str">
            <v>Profit and Loss</v>
          </cell>
          <cell r="J1195" t="str">
            <v>XAF</v>
          </cell>
          <cell r="K1195" t="str">
            <v>Vente de produits fabriqués</v>
          </cell>
        </row>
        <row r="1196">
          <cell r="A1196" t="str">
            <v>A1195</v>
          </cell>
          <cell r="B1196" t="str">
            <v>"702400 - Aux entités du groupe hors Région - OHADA"</v>
          </cell>
          <cell r="C1196" t="str">
            <v>Aux entités du groupe hors Région</v>
          </cell>
          <cell r="D1196" t="str">
            <v>OHADA</v>
          </cell>
          <cell r="E1196" t="str">
            <v>702000 - Ventes de produits finis - OHADA</v>
          </cell>
          <cell r="F1196">
            <v>702400</v>
          </cell>
          <cell r="G1196" t="str">
            <v>0</v>
          </cell>
          <cell r="H1196" t="str">
            <v>Income</v>
          </cell>
          <cell r="I1196" t="str">
            <v>Profit and Loss</v>
          </cell>
          <cell r="J1196" t="str">
            <v>XAF</v>
          </cell>
          <cell r="K1196" t="str">
            <v>Vente de produits fabriqués</v>
          </cell>
        </row>
        <row r="1197">
          <cell r="A1197" t="str">
            <v>A1196</v>
          </cell>
          <cell r="B1197" t="str">
            <v>"702500 - Sur internet - OHADA"</v>
          </cell>
          <cell r="C1197" t="str">
            <v>Sur internet</v>
          </cell>
          <cell r="D1197" t="str">
            <v>OHADA</v>
          </cell>
          <cell r="E1197" t="str">
            <v>702000 - Ventes de produits finis - OHADA</v>
          </cell>
          <cell r="F1197">
            <v>702500</v>
          </cell>
          <cell r="G1197" t="str">
            <v>0</v>
          </cell>
          <cell r="H1197" t="str">
            <v>Income</v>
          </cell>
          <cell r="I1197" t="str">
            <v>Profit and Loss</v>
          </cell>
          <cell r="J1197" t="str">
            <v>XAF</v>
          </cell>
          <cell r="K1197" t="str">
            <v>Vente de produits fabriqués</v>
          </cell>
        </row>
        <row r="1198">
          <cell r="A1198" t="str">
            <v>A1197</v>
          </cell>
          <cell r="B1198" t="str">
            <v>"702900 - Rabais, remises, ristournes accordés (non ventilés) - OHADA"</v>
          </cell>
          <cell r="C1198" t="str">
            <v>Rabais, remises, ristournes accordés (non ventilés)</v>
          </cell>
          <cell r="D1198" t="str">
            <v>OHADA</v>
          </cell>
          <cell r="E1198" t="str">
            <v>702000 - Ventes de produits finis - OHADA</v>
          </cell>
          <cell r="F1198">
            <v>702900</v>
          </cell>
          <cell r="G1198" t="str">
            <v>0</v>
          </cell>
          <cell r="H1198" t="str">
            <v>Income</v>
          </cell>
          <cell r="I1198" t="str">
            <v>Profit and Loss</v>
          </cell>
          <cell r="J1198" t="str">
            <v>XAF</v>
          </cell>
          <cell r="K1198" t="str">
            <v>Vente de produits fabriqués</v>
          </cell>
        </row>
        <row r="1199">
          <cell r="A1199" t="str">
            <v>A1198</v>
          </cell>
          <cell r="B1199" t="str">
            <v>"703000 - Ventes de produits intermédiaires - OHADA"</v>
          </cell>
          <cell r="C1199" t="str">
            <v>Ventes de produits intermédiaires</v>
          </cell>
          <cell r="D1199" t="str">
            <v>OHADA</v>
          </cell>
          <cell r="E1199" t="str">
            <v>700000 - Ventes - OHADA</v>
          </cell>
          <cell r="F1199">
            <v>703000</v>
          </cell>
          <cell r="G1199" t="str">
            <v>1</v>
          </cell>
          <cell r="H1199" t="str">
            <v>Income</v>
          </cell>
          <cell r="I1199" t="str">
            <v>Profit and Loss</v>
          </cell>
          <cell r="J1199" t="str">
            <v>XAF</v>
          </cell>
          <cell r="K1199" t="str">
            <v>Vente de produits fabriqués</v>
          </cell>
        </row>
        <row r="1200">
          <cell r="A1200" t="str">
            <v>A1199</v>
          </cell>
          <cell r="B1200" t="str">
            <v>"703100 - Dans la Région - OHADA"</v>
          </cell>
          <cell r="C1200" t="str">
            <v>Dans la Région</v>
          </cell>
          <cell r="D1200" t="str">
            <v>OHADA</v>
          </cell>
          <cell r="E1200" t="str">
            <v>703000 - Ventes de produits intermédiaires - OHADA</v>
          </cell>
          <cell r="F1200">
            <v>703100</v>
          </cell>
          <cell r="G1200" t="str">
            <v>0</v>
          </cell>
          <cell r="H1200" t="str">
            <v>Income</v>
          </cell>
          <cell r="I1200" t="str">
            <v>Profit and Loss</v>
          </cell>
          <cell r="J1200" t="str">
            <v>XAF</v>
          </cell>
          <cell r="K1200" t="str">
            <v>Vente de produits fabriqués</v>
          </cell>
        </row>
        <row r="1201">
          <cell r="A1201" t="str">
            <v>A1200</v>
          </cell>
          <cell r="B1201" t="str">
            <v>"703200 - Hors Région - OHADA"</v>
          </cell>
          <cell r="C1201" t="str">
            <v>Hors Région</v>
          </cell>
          <cell r="D1201" t="str">
            <v>OHADA</v>
          </cell>
          <cell r="E1201" t="str">
            <v>703000 - Ventes de produits intermédiaires - OHADA</v>
          </cell>
          <cell r="F1201">
            <v>703200</v>
          </cell>
          <cell r="G1201" t="str">
            <v>0</v>
          </cell>
          <cell r="H1201" t="str">
            <v>Income</v>
          </cell>
          <cell r="I1201" t="str">
            <v>Profit and Loss</v>
          </cell>
          <cell r="J1201" t="str">
            <v>XAF</v>
          </cell>
          <cell r="K1201" t="str">
            <v>Vente de produits fabriqués</v>
          </cell>
        </row>
        <row r="1202">
          <cell r="A1202" t="str">
            <v>A1201</v>
          </cell>
          <cell r="B1202" t="str">
            <v>"703300 - Aux entités du groupe dans la Région - OHADA"</v>
          </cell>
          <cell r="C1202" t="str">
            <v>Aux entités du groupe dans la Région</v>
          </cell>
          <cell r="D1202" t="str">
            <v>OHADA</v>
          </cell>
          <cell r="E1202" t="str">
            <v>703000 - Ventes de produits intermédiaires - OHADA</v>
          </cell>
          <cell r="F1202">
            <v>703300</v>
          </cell>
          <cell r="G1202" t="str">
            <v>0</v>
          </cell>
          <cell r="H1202" t="str">
            <v>Income</v>
          </cell>
          <cell r="I1202" t="str">
            <v>Profit and Loss</v>
          </cell>
          <cell r="J1202" t="str">
            <v>XAF</v>
          </cell>
          <cell r="K1202" t="str">
            <v>Vente de produits fabriqués</v>
          </cell>
        </row>
        <row r="1203">
          <cell r="A1203" t="str">
            <v>A1202</v>
          </cell>
          <cell r="B1203" t="str">
            <v>"703400 - Aux entités du groupe hors Région - OHADA"</v>
          </cell>
          <cell r="C1203" t="str">
            <v>Aux entités du groupe hors Région</v>
          </cell>
          <cell r="D1203" t="str">
            <v>OHADA</v>
          </cell>
          <cell r="E1203" t="str">
            <v>703000 - Ventes de produits intermédiaires - OHADA</v>
          </cell>
          <cell r="F1203">
            <v>703400</v>
          </cell>
          <cell r="G1203" t="str">
            <v>0</v>
          </cell>
          <cell r="H1203" t="str">
            <v>Income</v>
          </cell>
          <cell r="I1203" t="str">
            <v>Profit and Loss</v>
          </cell>
          <cell r="J1203" t="str">
            <v>XAF</v>
          </cell>
          <cell r="K1203" t="str">
            <v>Vente de produits fabriqués</v>
          </cell>
        </row>
        <row r="1204">
          <cell r="A1204" t="str">
            <v>A1203</v>
          </cell>
          <cell r="B1204" t="str">
            <v>"703500 - Sur internet - OHADA"</v>
          </cell>
          <cell r="C1204" t="str">
            <v>Sur internet</v>
          </cell>
          <cell r="D1204" t="str">
            <v>OHADA</v>
          </cell>
          <cell r="E1204" t="str">
            <v>703000 - Ventes de produits intermédiaires - OHADA</v>
          </cell>
          <cell r="F1204">
            <v>703500</v>
          </cell>
          <cell r="G1204" t="str">
            <v>0</v>
          </cell>
          <cell r="H1204" t="str">
            <v>Income</v>
          </cell>
          <cell r="I1204" t="str">
            <v>Profit and Loss</v>
          </cell>
          <cell r="J1204" t="str">
            <v>XAF</v>
          </cell>
          <cell r="K1204" t="str">
            <v>Vente de produits fabriqués</v>
          </cell>
        </row>
        <row r="1205">
          <cell r="A1205" t="str">
            <v>A1204</v>
          </cell>
          <cell r="B1205" t="str">
            <v>"703900 - Rabais, remises, ristournes accordés (non ventilés) - OHADA"</v>
          </cell>
          <cell r="C1205" t="str">
            <v>Rabais, remises, ristournes accordés (non ventilés)</v>
          </cell>
          <cell r="D1205" t="str">
            <v>OHADA</v>
          </cell>
          <cell r="E1205" t="str">
            <v>703000 - Ventes de produits intermédiaires - OHADA</v>
          </cell>
          <cell r="F1205">
            <v>703900</v>
          </cell>
          <cell r="G1205" t="str">
            <v>0</v>
          </cell>
          <cell r="H1205" t="str">
            <v>Income</v>
          </cell>
          <cell r="I1205" t="str">
            <v>Profit and Loss</v>
          </cell>
          <cell r="J1205" t="str">
            <v>XAF</v>
          </cell>
          <cell r="K1205" t="str">
            <v>Vente de produits fabriqués</v>
          </cell>
        </row>
        <row r="1206">
          <cell r="A1206" t="str">
            <v>A1205</v>
          </cell>
          <cell r="B1206" t="str">
            <v>"704000 - Ventes de produits résiduels - OHADA"</v>
          </cell>
          <cell r="C1206" t="str">
            <v>Ventes de produits résiduels</v>
          </cell>
          <cell r="D1206" t="str">
            <v>OHADA</v>
          </cell>
          <cell r="E1206" t="str">
            <v>700000 - Ventes - OHADA</v>
          </cell>
          <cell r="F1206">
            <v>704000</v>
          </cell>
          <cell r="G1206" t="str">
            <v>1</v>
          </cell>
          <cell r="H1206" t="str">
            <v>Income</v>
          </cell>
          <cell r="I1206" t="str">
            <v>Profit and Loss</v>
          </cell>
          <cell r="J1206" t="str">
            <v>XAF</v>
          </cell>
          <cell r="K1206" t="str">
            <v>Vente de produits fabriqués</v>
          </cell>
        </row>
        <row r="1207">
          <cell r="A1207" t="str">
            <v>A1206</v>
          </cell>
          <cell r="B1207" t="str">
            <v>"704100 - Dans la Région - OHADA"</v>
          </cell>
          <cell r="C1207" t="str">
            <v>Dans la Région</v>
          </cell>
          <cell r="D1207" t="str">
            <v>OHADA</v>
          </cell>
          <cell r="E1207" t="str">
            <v>704000 - Ventes de produits résiduels - OHADA</v>
          </cell>
          <cell r="F1207">
            <v>704100</v>
          </cell>
          <cell r="G1207" t="str">
            <v>0</v>
          </cell>
          <cell r="H1207" t="str">
            <v>Income</v>
          </cell>
          <cell r="I1207" t="str">
            <v>Profit and Loss</v>
          </cell>
          <cell r="J1207" t="str">
            <v>XAF</v>
          </cell>
          <cell r="K1207" t="str">
            <v>Vente de produits fabriqués</v>
          </cell>
        </row>
        <row r="1208">
          <cell r="A1208" t="str">
            <v>A1207</v>
          </cell>
          <cell r="B1208" t="str">
            <v>"704200 - Hors Région - OHADA"</v>
          </cell>
          <cell r="C1208" t="str">
            <v>Hors Région</v>
          </cell>
          <cell r="D1208" t="str">
            <v>OHADA</v>
          </cell>
          <cell r="E1208" t="str">
            <v>704000 - Ventes de produits résiduels - OHADA</v>
          </cell>
          <cell r="F1208">
            <v>704200</v>
          </cell>
          <cell r="G1208" t="str">
            <v>0</v>
          </cell>
          <cell r="H1208" t="str">
            <v>Income</v>
          </cell>
          <cell r="I1208" t="str">
            <v>Profit and Loss</v>
          </cell>
          <cell r="J1208" t="str">
            <v>XAF</v>
          </cell>
          <cell r="K1208" t="str">
            <v>Vente de produits fabriqués</v>
          </cell>
        </row>
        <row r="1209">
          <cell r="A1209" t="str">
            <v>A1208</v>
          </cell>
          <cell r="B1209" t="str">
            <v>"704300 - Aux entités du groupe dans la Région - OHADA"</v>
          </cell>
          <cell r="C1209" t="str">
            <v>Aux entités du groupe dans la Région</v>
          </cell>
          <cell r="D1209" t="str">
            <v>OHADA</v>
          </cell>
          <cell r="E1209" t="str">
            <v>704000 - Ventes de produits résiduels - OHADA</v>
          </cell>
          <cell r="F1209">
            <v>704300</v>
          </cell>
          <cell r="G1209" t="str">
            <v>0</v>
          </cell>
          <cell r="H1209" t="str">
            <v>Income</v>
          </cell>
          <cell r="I1209" t="str">
            <v>Profit and Loss</v>
          </cell>
          <cell r="J1209" t="str">
            <v>XAF</v>
          </cell>
          <cell r="K1209" t="str">
            <v>Vente de produits fabriqués</v>
          </cell>
        </row>
        <row r="1210">
          <cell r="A1210" t="str">
            <v>A1209</v>
          </cell>
          <cell r="B1210" t="str">
            <v>"704400 - Aux entités du groupe hors Région - OHADA"</v>
          </cell>
          <cell r="C1210" t="str">
            <v>Aux entités du groupe hors Région</v>
          </cell>
          <cell r="D1210" t="str">
            <v>OHADA</v>
          </cell>
          <cell r="E1210" t="str">
            <v>704000 - Ventes de produits résiduels - OHADA</v>
          </cell>
          <cell r="F1210">
            <v>704400</v>
          </cell>
          <cell r="G1210" t="str">
            <v>0</v>
          </cell>
          <cell r="H1210" t="str">
            <v>Income</v>
          </cell>
          <cell r="I1210" t="str">
            <v>Profit and Loss</v>
          </cell>
          <cell r="J1210" t="str">
            <v>XAF</v>
          </cell>
          <cell r="K1210" t="str">
            <v>Vente de produits fabriqués</v>
          </cell>
        </row>
        <row r="1211">
          <cell r="A1211" t="str">
            <v>A1210</v>
          </cell>
          <cell r="B1211" t="str">
            <v>"704500 - Sur internet - OHADA"</v>
          </cell>
          <cell r="C1211" t="str">
            <v>Sur internet</v>
          </cell>
          <cell r="D1211" t="str">
            <v>OHADA</v>
          </cell>
          <cell r="E1211" t="str">
            <v>704000 - Ventes de produits résiduels - OHADA</v>
          </cell>
          <cell r="F1211">
            <v>704500</v>
          </cell>
          <cell r="G1211" t="str">
            <v>0</v>
          </cell>
          <cell r="H1211" t="str">
            <v>Income</v>
          </cell>
          <cell r="I1211" t="str">
            <v>Profit and Loss</v>
          </cell>
          <cell r="J1211" t="str">
            <v>XAF</v>
          </cell>
          <cell r="K1211" t="str">
            <v>Vente de produits fabriqués</v>
          </cell>
        </row>
        <row r="1212">
          <cell r="A1212" t="str">
            <v>A1211</v>
          </cell>
          <cell r="B1212" t="str">
            <v>"704900 - Rabais, remises, ristournes accordés (non ventilés) - OHADA"</v>
          </cell>
          <cell r="C1212" t="str">
            <v>Rabais, remises, ristournes accordés (non ventilés)</v>
          </cell>
          <cell r="D1212" t="str">
            <v>OHADA</v>
          </cell>
          <cell r="E1212" t="str">
            <v>704000 - Ventes de produits résiduels - OHADA</v>
          </cell>
          <cell r="F1212">
            <v>704900</v>
          </cell>
          <cell r="G1212" t="str">
            <v>0</v>
          </cell>
          <cell r="H1212" t="str">
            <v>Income</v>
          </cell>
          <cell r="I1212" t="str">
            <v>Profit and Loss</v>
          </cell>
          <cell r="J1212" t="str">
            <v>XAF</v>
          </cell>
          <cell r="K1212" t="str">
            <v>Vente de produits fabriqués</v>
          </cell>
        </row>
        <row r="1213">
          <cell r="A1213" t="str">
            <v>A1212</v>
          </cell>
          <cell r="B1213" t="str">
            <v>"705000 - Travaux facturés - OHADA"</v>
          </cell>
          <cell r="C1213" t="str">
            <v>Travaux facturés</v>
          </cell>
          <cell r="D1213" t="str">
            <v>OHADA</v>
          </cell>
          <cell r="E1213" t="str">
            <v>700000 - Ventes - OHADA</v>
          </cell>
          <cell r="F1213">
            <v>705000</v>
          </cell>
          <cell r="G1213" t="str">
            <v>1</v>
          </cell>
          <cell r="H1213" t="str">
            <v>Income</v>
          </cell>
          <cell r="I1213" t="str">
            <v>Profit and Loss</v>
          </cell>
          <cell r="J1213" t="str">
            <v>XAF</v>
          </cell>
          <cell r="K1213" t="str">
            <v>Travaux, services vendus</v>
          </cell>
        </row>
        <row r="1214">
          <cell r="A1214" t="str">
            <v>A1213</v>
          </cell>
          <cell r="B1214" t="str">
            <v>"705100 - Dans la Région - OHADA"</v>
          </cell>
          <cell r="C1214" t="str">
            <v>Dans la Région</v>
          </cell>
          <cell r="D1214" t="str">
            <v>OHADA</v>
          </cell>
          <cell r="E1214" t="str">
            <v>705000 - Travaux facturés - OHADA</v>
          </cell>
          <cell r="F1214">
            <v>705100</v>
          </cell>
          <cell r="G1214" t="str">
            <v>0</v>
          </cell>
          <cell r="H1214" t="str">
            <v>Income</v>
          </cell>
          <cell r="I1214" t="str">
            <v>Profit and Loss</v>
          </cell>
          <cell r="J1214" t="str">
            <v>XAF</v>
          </cell>
          <cell r="K1214" t="str">
            <v>Travaux, services vendus</v>
          </cell>
        </row>
        <row r="1215">
          <cell r="A1215" t="str">
            <v>A1214</v>
          </cell>
          <cell r="B1215" t="str">
            <v>"705200 - Hors Région - OHADA"</v>
          </cell>
          <cell r="C1215" t="str">
            <v>Hors Région</v>
          </cell>
          <cell r="D1215" t="str">
            <v>OHADA</v>
          </cell>
          <cell r="E1215" t="str">
            <v>705000 - Travaux facturés - OHADA</v>
          </cell>
          <cell r="F1215">
            <v>705200</v>
          </cell>
          <cell r="G1215" t="str">
            <v>0</v>
          </cell>
          <cell r="H1215" t="str">
            <v>Income</v>
          </cell>
          <cell r="I1215" t="str">
            <v>Profit and Loss</v>
          </cell>
          <cell r="J1215" t="str">
            <v>XAF</v>
          </cell>
          <cell r="K1215" t="str">
            <v>Travaux, services vendus</v>
          </cell>
        </row>
        <row r="1216">
          <cell r="A1216" t="str">
            <v>A1215</v>
          </cell>
          <cell r="B1216" t="str">
            <v>"705300 - Aux entités du groupe dans la Région - OHADA"</v>
          </cell>
          <cell r="C1216" t="str">
            <v>Aux entités du groupe dans la Région</v>
          </cell>
          <cell r="D1216" t="str">
            <v>OHADA</v>
          </cell>
          <cell r="E1216" t="str">
            <v>705000 - Travaux facturés - OHADA</v>
          </cell>
          <cell r="F1216">
            <v>705300</v>
          </cell>
          <cell r="G1216" t="str">
            <v>0</v>
          </cell>
          <cell r="H1216" t="str">
            <v>Income</v>
          </cell>
          <cell r="I1216" t="str">
            <v>Profit and Loss</v>
          </cell>
          <cell r="J1216" t="str">
            <v>XAF</v>
          </cell>
          <cell r="K1216" t="str">
            <v>Travaux, services vendus</v>
          </cell>
        </row>
        <row r="1217">
          <cell r="A1217" t="str">
            <v>A1216</v>
          </cell>
          <cell r="B1217" t="str">
            <v>"705400 - Aux entités du groupe hors Région - OHADA"</v>
          </cell>
          <cell r="C1217" t="str">
            <v>Aux entités du groupe hors Région</v>
          </cell>
          <cell r="D1217" t="str">
            <v>OHADA</v>
          </cell>
          <cell r="E1217" t="str">
            <v>705000 - Travaux facturés - OHADA</v>
          </cell>
          <cell r="F1217">
            <v>705400</v>
          </cell>
          <cell r="G1217" t="str">
            <v>0</v>
          </cell>
          <cell r="H1217" t="str">
            <v>Income</v>
          </cell>
          <cell r="I1217" t="str">
            <v>Profit and Loss</v>
          </cell>
          <cell r="J1217" t="str">
            <v>XAF</v>
          </cell>
          <cell r="K1217" t="str">
            <v>Travaux, services vendus</v>
          </cell>
        </row>
        <row r="1218">
          <cell r="A1218" t="str">
            <v>A1217</v>
          </cell>
          <cell r="B1218" t="str">
            <v>"705500 - Sur internet - OHADA"</v>
          </cell>
          <cell r="C1218" t="str">
            <v>Sur internet</v>
          </cell>
          <cell r="D1218" t="str">
            <v>OHADA</v>
          </cell>
          <cell r="E1218" t="str">
            <v>705000 - Travaux facturés - OHADA</v>
          </cell>
          <cell r="F1218">
            <v>705500</v>
          </cell>
          <cell r="G1218" t="str">
            <v>0</v>
          </cell>
          <cell r="H1218" t="str">
            <v>Income</v>
          </cell>
          <cell r="I1218" t="str">
            <v>Profit and Loss</v>
          </cell>
          <cell r="J1218" t="str">
            <v>XAF</v>
          </cell>
          <cell r="K1218" t="str">
            <v>Travaux, services vendus</v>
          </cell>
        </row>
        <row r="1219">
          <cell r="A1219" t="str">
            <v>A1218</v>
          </cell>
          <cell r="B1219" t="str">
            <v>"705900 - Rabais, remises, ristournes accordés (non ventilés) - OHADA"</v>
          </cell>
          <cell r="C1219" t="str">
            <v>Rabais, remises, ristournes accordés (non ventilés)</v>
          </cell>
          <cell r="D1219" t="str">
            <v>OHADA</v>
          </cell>
          <cell r="E1219" t="str">
            <v>705000 - Travaux facturés - OHADA</v>
          </cell>
          <cell r="F1219">
            <v>705900</v>
          </cell>
          <cell r="G1219" t="str">
            <v>0</v>
          </cell>
          <cell r="H1219" t="str">
            <v>Income</v>
          </cell>
          <cell r="I1219" t="str">
            <v>Profit and Loss</v>
          </cell>
          <cell r="J1219" t="str">
            <v>XAF</v>
          </cell>
          <cell r="K1219" t="str">
            <v>Travaux, services vendus</v>
          </cell>
        </row>
        <row r="1220">
          <cell r="A1220" t="str">
            <v>A1219</v>
          </cell>
          <cell r="B1220" t="str">
            <v>"706000 - Services vendus - OHADA"</v>
          </cell>
          <cell r="C1220" t="str">
            <v>Services vendus</v>
          </cell>
          <cell r="D1220" t="str">
            <v>OHADA</v>
          </cell>
          <cell r="E1220" t="str">
            <v>700000 - Ventes - OHADA</v>
          </cell>
          <cell r="F1220">
            <v>706000</v>
          </cell>
          <cell r="G1220" t="str">
            <v>1</v>
          </cell>
          <cell r="H1220" t="str">
            <v>Income</v>
          </cell>
          <cell r="I1220" t="str">
            <v>Profit and Loss</v>
          </cell>
          <cell r="J1220" t="str">
            <v>XAF</v>
          </cell>
          <cell r="K1220" t="str">
            <v>Travaux, services vendus</v>
          </cell>
        </row>
        <row r="1221">
          <cell r="A1221" t="str">
            <v>A1220</v>
          </cell>
          <cell r="B1221" t="str">
            <v>"706100 - Dans la Région - OHADA"</v>
          </cell>
          <cell r="C1221" t="str">
            <v>Dans la Région</v>
          </cell>
          <cell r="D1221" t="str">
            <v>OHADA</v>
          </cell>
          <cell r="E1221" t="str">
            <v>706000 - Services vendus - OHADA</v>
          </cell>
          <cell r="F1221">
            <v>706100</v>
          </cell>
          <cell r="G1221" t="str">
            <v>0</v>
          </cell>
          <cell r="H1221" t="str">
            <v>Income</v>
          </cell>
          <cell r="I1221" t="str">
            <v>Profit and Loss</v>
          </cell>
          <cell r="J1221" t="str">
            <v>XAF</v>
          </cell>
          <cell r="K1221" t="str">
            <v>Travaux, services vendus</v>
          </cell>
        </row>
        <row r="1222">
          <cell r="A1222" t="str">
            <v>A1221</v>
          </cell>
          <cell r="B1222" t="str">
            <v>"706200 - Hors Région - OHADA"</v>
          </cell>
          <cell r="C1222" t="str">
            <v>Hors Région</v>
          </cell>
          <cell r="D1222" t="str">
            <v>OHADA</v>
          </cell>
          <cell r="E1222" t="str">
            <v>706000 - Services vendus - OHADA</v>
          </cell>
          <cell r="F1222">
            <v>706200</v>
          </cell>
          <cell r="G1222" t="str">
            <v>0</v>
          </cell>
          <cell r="H1222" t="str">
            <v>Income</v>
          </cell>
          <cell r="I1222" t="str">
            <v>Profit and Loss</v>
          </cell>
          <cell r="J1222" t="str">
            <v>XAF</v>
          </cell>
          <cell r="K1222" t="str">
            <v>Travaux, services vendus</v>
          </cell>
        </row>
        <row r="1223">
          <cell r="A1223" t="str">
            <v>A1222</v>
          </cell>
          <cell r="B1223" t="str">
            <v>"706300 - Aux entités du groupe dans la Région - OHADA"</v>
          </cell>
          <cell r="C1223" t="str">
            <v>Aux entités du groupe dans la Région</v>
          </cell>
          <cell r="D1223" t="str">
            <v>OHADA</v>
          </cell>
          <cell r="E1223" t="str">
            <v>706000 - Services vendus - OHADA</v>
          </cell>
          <cell r="F1223">
            <v>706300</v>
          </cell>
          <cell r="G1223" t="str">
            <v>0</v>
          </cell>
          <cell r="H1223" t="str">
            <v>Income</v>
          </cell>
          <cell r="I1223" t="str">
            <v>Profit and Loss</v>
          </cell>
          <cell r="J1223" t="str">
            <v>XAF</v>
          </cell>
          <cell r="K1223" t="str">
            <v>Travaux, services vendus</v>
          </cell>
        </row>
        <row r="1224">
          <cell r="A1224" t="str">
            <v>A1223</v>
          </cell>
          <cell r="B1224" t="str">
            <v>"706400 - Aux entités du groupe hors Région - OHADA"</v>
          </cell>
          <cell r="C1224" t="str">
            <v>Aux entités du groupe hors Région</v>
          </cell>
          <cell r="D1224" t="str">
            <v>OHADA</v>
          </cell>
          <cell r="E1224" t="str">
            <v>706000 - Services vendus - OHADA</v>
          </cell>
          <cell r="F1224">
            <v>706400</v>
          </cell>
          <cell r="G1224" t="str">
            <v>0</v>
          </cell>
          <cell r="H1224" t="str">
            <v>Income</v>
          </cell>
          <cell r="I1224" t="str">
            <v>Profit and Loss</v>
          </cell>
          <cell r="J1224" t="str">
            <v>XAF</v>
          </cell>
          <cell r="K1224" t="str">
            <v>Travaux, services vendus</v>
          </cell>
        </row>
        <row r="1225">
          <cell r="A1225" t="str">
            <v>A1224</v>
          </cell>
          <cell r="B1225" t="str">
            <v>"706500 - Sur internet - OHADA"</v>
          </cell>
          <cell r="C1225" t="str">
            <v>Sur internet</v>
          </cell>
          <cell r="D1225" t="str">
            <v>OHADA</v>
          </cell>
          <cell r="E1225" t="str">
            <v>706000 - Services vendus - OHADA</v>
          </cell>
          <cell r="F1225">
            <v>706500</v>
          </cell>
          <cell r="G1225" t="str">
            <v>0</v>
          </cell>
          <cell r="H1225" t="str">
            <v>Income</v>
          </cell>
          <cell r="I1225" t="str">
            <v>Profit and Loss</v>
          </cell>
          <cell r="J1225" t="str">
            <v>XAF</v>
          </cell>
          <cell r="K1225" t="str">
            <v>Travaux, services vendus</v>
          </cell>
        </row>
        <row r="1226">
          <cell r="A1226" t="str">
            <v>A1225</v>
          </cell>
          <cell r="B1226" t="str">
            <v>"706900 - Rabais, remises, ristournes accordés (non ventilés) - OHADA"</v>
          </cell>
          <cell r="C1226" t="str">
            <v>Rabais, remises, ristournes accordés (non ventilés)</v>
          </cell>
          <cell r="D1226" t="str">
            <v>OHADA</v>
          </cell>
          <cell r="E1226" t="str">
            <v>706000 - Services vendus - OHADA</v>
          </cell>
          <cell r="F1226">
            <v>706900</v>
          </cell>
          <cell r="G1226" t="str">
            <v>0</v>
          </cell>
          <cell r="H1226" t="str">
            <v>Income</v>
          </cell>
          <cell r="I1226" t="str">
            <v>Profit and Loss</v>
          </cell>
          <cell r="J1226" t="str">
            <v>XAF</v>
          </cell>
          <cell r="K1226" t="str">
            <v>Travaux, services vendus</v>
          </cell>
        </row>
        <row r="1227">
          <cell r="A1227" t="str">
            <v>A1226</v>
          </cell>
          <cell r="B1227" t="str">
            <v>"707000 - Produits accessoires - OHADA"</v>
          </cell>
          <cell r="C1227" t="str">
            <v>Produits accessoires</v>
          </cell>
          <cell r="D1227" t="str">
            <v>OHADA</v>
          </cell>
          <cell r="E1227" t="str">
            <v>700000 - Ventes - OHADA</v>
          </cell>
          <cell r="F1227">
            <v>707000</v>
          </cell>
          <cell r="G1227" t="str">
            <v>1</v>
          </cell>
          <cell r="H1227" t="str">
            <v>Income</v>
          </cell>
          <cell r="I1227" t="str">
            <v>Profit and Loss</v>
          </cell>
          <cell r="J1227" t="str">
            <v>XAF</v>
          </cell>
          <cell r="K1227" t="str">
            <v>Produits accessoires</v>
          </cell>
        </row>
        <row r="1228">
          <cell r="A1228" t="str">
            <v>A1227</v>
          </cell>
          <cell r="B1228" t="str">
            <v>"707100 - Ports, emballages perdus et autres frais facturés - OHADA"</v>
          </cell>
          <cell r="C1228" t="str">
            <v>Ports, emballages perdus et autres frais facturés</v>
          </cell>
          <cell r="D1228" t="str">
            <v>OHADA</v>
          </cell>
          <cell r="E1228" t="str">
            <v>707000 - Produits accessoires - OHADA</v>
          </cell>
          <cell r="F1228">
            <v>707100</v>
          </cell>
          <cell r="G1228" t="str">
            <v>0</v>
          </cell>
          <cell r="H1228" t="str">
            <v>Income</v>
          </cell>
          <cell r="I1228" t="str">
            <v>Profit and Loss</v>
          </cell>
          <cell r="J1228" t="str">
            <v>XAF</v>
          </cell>
          <cell r="K1228" t="str">
            <v>Produits accessoires</v>
          </cell>
        </row>
        <row r="1229">
          <cell r="A1229" t="str">
            <v>A1228</v>
          </cell>
          <cell r="B1229" t="str">
            <v>"707200 - Commissions et courtages - OHADA"</v>
          </cell>
          <cell r="C1229" t="str">
            <v>Commissions et courtages</v>
          </cell>
          <cell r="D1229" t="str">
            <v>OHADA</v>
          </cell>
          <cell r="E1229" t="str">
            <v>707000 - Produits accessoires - OHADA</v>
          </cell>
          <cell r="F1229">
            <v>707200</v>
          </cell>
          <cell r="G1229" t="str">
            <v>0</v>
          </cell>
          <cell r="H1229" t="str">
            <v>Income</v>
          </cell>
          <cell r="I1229" t="str">
            <v>Profit and Loss</v>
          </cell>
          <cell r="J1229" t="str">
            <v>XAF</v>
          </cell>
          <cell r="K1229" t="str">
            <v>Produits accessoires</v>
          </cell>
        </row>
        <row r="1230">
          <cell r="A1230" t="str">
            <v>A1229</v>
          </cell>
          <cell r="B1230" t="str">
            <v>"707300 - Locations - OHADA"</v>
          </cell>
          <cell r="C1230" t="str">
            <v>Locations</v>
          </cell>
          <cell r="D1230" t="str">
            <v>OHADA</v>
          </cell>
          <cell r="E1230" t="str">
            <v>707000 - Produits accessoires - OHADA</v>
          </cell>
          <cell r="F1230">
            <v>707300</v>
          </cell>
          <cell r="G1230" t="str">
            <v>0</v>
          </cell>
          <cell r="H1230" t="str">
            <v>Income</v>
          </cell>
          <cell r="I1230" t="str">
            <v>Profit and Loss</v>
          </cell>
          <cell r="J1230" t="str">
            <v>XAF</v>
          </cell>
          <cell r="K1230" t="str">
            <v>Produits accessoires</v>
          </cell>
        </row>
        <row r="1231">
          <cell r="A1231" t="str">
            <v>A1230</v>
          </cell>
          <cell r="B1231" t="str">
            <v>"707400 - Bonis sur reprises et cessions d’emballages - OHADA"</v>
          </cell>
          <cell r="C1231" t="str">
            <v>Bonis sur reprises et cessions d’emballages</v>
          </cell>
          <cell r="D1231" t="str">
            <v>OHADA</v>
          </cell>
          <cell r="E1231" t="str">
            <v>707000 - Produits accessoires - OHADA</v>
          </cell>
          <cell r="F1231">
            <v>707400</v>
          </cell>
          <cell r="G1231" t="str">
            <v>0</v>
          </cell>
          <cell r="H1231" t="str">
            <v>Income</v>
          </cell>
          <cell r="I1231" t="str">
            <v>Profit and Loss</v>
          </cell>
          <cell r="J1231" t="str">
            <v>XAF</v>
          </cell>
          <cell r="K1231" t="str">
            <v>Produits accessoires</v>
          </cell>
        </row>
        <row r="1232">
          <cell r="A1232" t="str">
            <v>A1231</v>
          </cell>
          <cell r="B1232" t="str">
            <v>"707500 - Mise à disposition de personnel - OHADA"</v>
          </cell>
          <cell r="C1232" t="str">
            <v>Mise à disposition de personnel</v>
          </cell>
          <cell r="D1232" t="str">
            <v>OHADA</v>
          </cell>
          <cell r="E1232" t="str">
            <v>707000 - Produits accessoires - OHADA</v>
          </cell>
          <cell r="F1232">
            <v>707500</v>
          </cell>
          <cell r="G1232" t="str">
            <v>0</v>
          </cell>
          <cell r="H1232" t="str">
            <v>Income</v>
          </cell>
          <cell r="I1232" t="str">
            <v>Profit and Loss</v>
          </cell>
          <cell r="J1232" t="str">
            <v>XAF</v>
          </cell>
          <cell r="K1232" t="str">
            <v>Produits accessoires</v>
          </cell>
        </row>
        <row r="1233">
          <cell r="A1233" t="str">
            <v>A1232</v>
          </cell>
          <cell r="B1233" t="str">
            <v>"707600 - Redevances pour brevets, logiciels, marques et droits similaires - OHADA"</v>
          </cell>
          <cell r="C1233" t="str">
            <v>Redevances pour brevets, logiciels, marques et droits similaires</v>
          </cell>
          <cell r="D1233" t="str">
            <v>OHADA</v>
          </cell>
          <cell r="E1233" t="str">
            <v>707000 - Produits accessoires - OHADA</v>
          </cell>
          <cell r="F1233">
            <v>707600</v>
          </cell>
          <cell r="G1233" t="str">
            <v>0</v>
          </cell>
          <cell r="H1233" t="str">
            <v>Income</v>
          </cell>
          <cell r="I1233" t="str">
            <v>Profit and Loss</v>
          </cell>
          <cell r="J1233" t="str">
            <v>XAF</v>
          </cell>
          <cell r="K1233" t="str">
            <v>Produits accessoires</v>
          </cell>
        </row>
        <row r="1234">
          <cell r="A1234" t="str">
            <v>A1233</v>
          </cell>
          <cell r="B1234" t="str">
            <v>"707700 - Services exploités dans l’intérêt du personnel - OHADA"</v>
          </cell>
          <cell r="C1234" t="str">
            <v>Services exploités dans l’intérêt du personnel</v>
          </cell>
          <cell r="D1234" t="str">
            <v>OHADA</v>
          </cell>
          <cell r="E1234" t="str">
            <v>707000 - Produits accessoires - OHADA</v>
          </cell>
          <cell r="F1234">
            <v>707700</v>
          </cell>
          <cell r="G1234" t="str">
            <v>0</v>
          </cell>
          <cell r="H1234" t="str">
            <v>Income</v>
          </cell>
          <cell r="I1234" t="str">
            <v>Profit and Loss</v>
          </cell>
          <cell r="J1234" t="str">
            <v>XAF</v>
          </cell>
          <cell r="K1234" t="str">
            <v>Produits accessoires</v>
          </cell>
        </row>
        <row r="1235">
          <cell r="A1235" t="str">
            <v>A1234</v>
          </cell>
          <cell r="B1235" t="str">
            <v>"707800 - Autres produits accessoires - OHADA"</v>
          </cell>
          <cell r="C1235" t="str">
            <v>Autres produits accessoires</v>
          </cell>
          <cell r="D1235" t="str">
            <v>OHADA</v>
          </cell>
          <cell r="E1235" t="str">
            <v>707000 - Produits accessoires - OHADA</v>
          </cell>
          <cell r="F1235">
            <v>707800</v>
          </cell>
          <cell r="G1235" t="str">
            <v>0</v>
          </cell>
          <cell r="H1235" t="str">
            <v>Income</v>
          </cell>
          <cell r="I1235" t="str">
            <v>Profit and Loss</v>
          </cell>
          <cell r="J1235" t="str">
            <v>XAF</v>
          </cell>
          <cell r="K1235" t="str">
            <v>Produits accessoires</v>
          </cell>
        </row>
        <row r="1236">
          <cell r="A1236" t="str">
            <v>A1235</v>
          </cell>
          <cell r="B1236" t="str">
            <v>"710000 - Subventions d’exploitation - OHADA"</v>
          </cell>
          <cell r="C1236" t="str">
            <v>Subventions d’exploitation</v>
          </cell>
          <cell r="D1236" t="str">
            <v>OHADA</v>
          </cell>
          <cell r="E1236" t="str">
            <v>7 - Comptes de produits des activités ordinaires - OHADA</v>
          </cell>
          <cell r="F1236">
            <v>710000</v>
          </cell>
          <cell r="G1236" t="str">
            <v>1</v>
          </cell>
          <cell r="H1236" t="str">
            <v>Income</v>
          </cell>
          <cell r="I1236" t="str">
            <v>Profit and Loss</v>
          </cell>
          <cell r="J1236" t="str">
            <v>XAF</v>
          </cell>
          <cell r="K1236" t="str">
            <v>Subvention d'exploitation</v>
          </cell>
        </row>
        <row r="1237">
          <cell r="A1237" t="str">
            <v>A1236</v>
          </cell>
          <cell r="B1237" t="str">
            <v>"711000 - Sur produits à l’exportation - OHADA"</v>
          </cell>
          <cell r="C1237" t="str">
            <v>Sur produits à l’exportation</v>
          </cell>
          <cell r="D1237" t="str">
            <v>OHADA</v>
          </cell>
          <cell r="E1237" t="str">
            <v>710000 - Subventions d’exploitation - OHADA</v>
          </cell>
          <cell r="F1237">
            <v>711000</v>
          </cell>
          <cell r="G1237" t="str">
            <v>0</v>
          </cell>
          <cell r="H1237" t="str">
            <v>Income</v>
          </cell>
          <cell r="I1237" t="str">
            <v>Profit and Loss</v>
          </cell>
          <cell r="J1237" t="str">
            <v>XAF</v>
          </cell>
          <cell r="K1237" t="str">
            <v>Subvention d'exploitation</v>
          </cell>
        </row>
        <row r="1238">
          <cell r="A1238" t="str">
            <v>A1237</v>
          </cell>
          <cell r="B1238" t="str">
            <v>"712000 - Sur produits à l’importation - OHADA"</v>
          </cell>
          <cell r="C1238" t="str">
            <v>Sur produits à l’importation</v>
          </cell>
          <cell r="D1238" t="str">
            <v>OHADA</v>
          </cell>
          <cell r="E1238" t="str">
            <v>710000 - Subventions d’exploitation - OHADA</v>
          </cell>
          <cell r="F1238">
            <v>712000</v>
          </cell>
          <cell r="G1238" t="str">
            <v>0</v>
          </cell>
          <cell r="H1238" t="str">
            <v>Income</v>
          </cell>
          <cell r="I1238" t="str">
            <v>Profit and Loss</v>
          </cell>
          <cell r="J1238" t="str">
            <v>XAF</v>
          </cell>
          <cell r="K1238" t="str">
            <v>Subvention d'exploitation</v>
          </cell>
        </row>
        <row r="1239">
          <cell r="A1239" t="str">
            <v>A1238</v>
          </cell>
          <cell r="B1239" t="str">
            <v>"713000 - Sur produits de péréquation - OHADA"</v>
          </cell>
          <cell r="C1239" t="str">
            <v>Sur produits de péréquation</v>
          </cell>
          <cell r="D1239" t="str">
            <v>OHADA</v>
          </cell>
          <cell r="E1239" t="str">
            <v>710000 - Subventions d’exploitation - OHADA</v>
          </cell>
          <cell r="F1239">
            <v>713000</v>
          </cell>
          <cell r="G1239" t="str">
            <v>0</v>
          </cell>
          <cell r="H1239" t="str">
            <v>Income</v>
          </cell>
          <cell r="I1239" t="str">
            <v>Profit and Loss</v>
          </cell>
          <cell r="J1239" t="str">
            <v>XAF</v>
          </cell>
          <cell r="K1239" t="str">
            <v>Subvention d'exploitation</v>
          </cell>
        </row>
        <row r="1240">
          <cell r="A1240" t="str">
            <v>A1239</v>
          </cell>
          <cell r="B1240" t="str">
            <v>"714000 - Indemnités et subventions d’exploitation (entité agricole) - OHADA"</v>
          </cell>
          <cell r="C1240" t="str">
            <v>Indemnités et subventions d’exploitation (entité agricole)</v>
          </cell>
          <cell r="D1240" t="str">
            <v>OHADA</v>
          </cell>
          <cell r="E1240" t="str">
            <v>710000 - Subventions d’exploitation - OHADA</v>
          </cell>
          <cell r="F1240">
            <v>714000</v>
          </cell>
          <cell r="G1240" t="str">
            <v>0</v>
          </cell>
          <cell r="H1240" t="str">
            <v>Income</v>
          </cell>
          <cell r="I1240" t="str">
            <v>Profit and Loss</v>
          </cell>
          <cell r="J1240" t="str">
            <v>XAF</v>
          </cell>
          <cell r="K1240" t="str">
            <v>Subvention d'exploitation</v>
          </cell>
        </row>
        <row r="1241">
          <cell r="A1241" t="str">
            <v>A1240</v>
          </cell>
          <cell r="B1241" t="str">
            <v>"718000 - Autres subventions d’exploitation - OHADA"</v>
          </cell>
          <cell r="C1241" t="str">
            <v>Autres subventions d’exploitation</v>
          </cell>
          <cell r="D1241" t="str">
            <v>OHADA</v>
          </cell>
          <cell r="E1241" t="str">
            <v>710000 - Subventions d’exploitation - OHADA</v>
          </cell>
          <cell r="F1241">
            <v>718000</v>
          </cell>
          <cell r="G1241" t="str">
            <v>1</v>
          </cell>
          <cell r="H1241" t="str">
            <v>Income</v>
          </cell>
          <cell r="I1241" t="str">
            <v>Profit and Loss</v>
          </cell>
          <cell r="J1241" t="str">
            <v>XAF</v>
          </cell>
          <cell r="K1241" t="str">
            <v>Subvention d'exploitation</v>
          </cell>
        </row>
        <row r="1242">
          <cell r="A1242" t="str">
            <v>A1241</v>
          </cell>
          <cell r="B1242" t="str">
            <v>"718100 - Versées par l’État et les collectivités publiques - OHADA"</v>
          </cell>
          <cell r="C1242" t="str">
            <v>Versées par l’État et les collectivités publiques</v>
          </cell>
          <cell r="D1242" t="str">
            <v>OHADA</v>
          </cell>
          <cell r="E1242" t="str">
            <v>718000 - Autres subventions d’exploitation - OHADA</v>
          </cell>
          <cell r="F1242">
            <v>718100</v>
          </cell>
          <cell r="G1242" t="str">
            <v>0</v>
          </cell>
          <cell r="H1242" t="str">
            <v>Income</v>
          </cell>
          <cell r="I1242" t="str">
            <v>Profit and Loss</v>
          </cell>
          <cell r="J1242" t="str">
            <v>XAF</v>
          </cell>
          <cell r="K1242" t="str">
            <v>Subvention d'exploitation</v>
          </cell>
        </row>
        <row r="1243">
          <cell r="A1243" t="str">
            <v>A1242</v>
          </cell>
          <cell r="B1243" t="str">
            <v>"718200 - Versées par les organismes internationaux - OHADA"</v>
          </cell>
          <cell r="C1243" t="str">
            <v>Versées par les organismes internationaux</v>
          </cell>
          <cell r="D1243" t="str">
            <v>OHADA</v>
          </cell>
          <cell r="E1243" t="str">
            <v>718000 - Autres subventions d’exploitation - OHADA</v>
          </cell>
          <cell r="F1243">
            <v>718200</v>
          </cell>
          <cell r="G1243" t="str">
            <v>0</v>
          </cell>
          <cell r="H1243" t="str">
            <v>Income</v>
          </cell>
          <cell r="I1243" t="str">
            <v>Profit and Loss</v>
          </cell>
          <cell r="J1243" t="str">
            <v>XAF</v>
          </cell>
          <cell r="K1243" t="str">
            <v>Subvention d'exploitation</v>
          </cell>
        </row>
        <row r="1244">
          <cell r="A1244" t="str">
            <v>A1243</v>
          </cell>
          <cell r="B1244" t="str">
            <v>"718300 - Versées par des tiers - OHADA"</v>
          </cell>
          <cell r="C1244" t="str">
            <v>Versées par des tiers</v>
          </cell>
          <cell r="D1244" t="str">
            <v>OHADA</v>
          </cell>
          <cell r="E1244" t="str">
            <v>718000 - Autres subventions d’exploitation - OHADA</v>
          </cell>
          <cell r="F1244">
            <v>718300</v>
          </cell>
          <cell r="G1244" t="str">
            <v>0</v>
          </cell>
          <cell r="H1244" t="str">
            <v>Income</v>
          </cell>
          <cell r="I1244" t="str">
            <v>Profit and Loss</v>
          </cell>
          <cell r="J1244" t="str">
            <v>XAF</v>
          </cell>
          <cell r="K1244" t="str">
            <v>Subvention d'exploitation</v>
          </cell>
        </row>
        <row r="1245">
          <cell r="A1245" t="str">
            <v>A1244</v>
          </cell>
          <cell r="B1245" t="str">
            <v>"720000 - Production immobilisée - OHADA"</v>
          </cell>
          <cell r="C1245" t="str">
            <v>Production immobilisée</v>
          </cell>
          <cell r="D1245" t="str">
            <v>OHADA</v>
          </cell>
          <cell r="E1245" t="str">
            <v>7 - Comptes de produits des activités ordinaires - OHADA</v>
          </cell>
          <cell r="F1245">
            <v>720000</v>
          </cell>
          <cell r="G1245" t="str">
            <v>1</v>
          </cell>
          <cell r="H1245" t="str">
            <v>Income</v>
          </cell>
          <cell r="I1245" t="str">
            <v>Profit and Loss</v>
          </cell>
          <cell r="J1245" t="str">
            <v>XAF</v>
          </cell>
          <cell r="K1245" t="str">
            <v>Production immobilisée</v>
          </cell>
        </row>
        <row r="1246">
          <cell r="A1246" t="str">
            <v>A1245</v>
          </cell>
          <cell r="B1246" t="str">
            <v>"721000 - Immobilisations incorporelles - OHADA"</v>
          </cell>
          <cell r="C1246" t="str">
            <v>Immobilisations incorporelles</v>
          </cell>
          <cell r="D1246" t="str">
            <v>OHADA</v>
          </cell>
          <cell r="E1246" t="str">
            <v>720000 - Production immobilisée - OHADA</v>
          </cell>
          <cell r="F1246">
            <v>721000</v>
          </cell>
          <cell r="G1246" t="str">
            <v>0</v>
          </cell>
          <cell r="H1246" t="str">
            <v>Income</v>
          </cell>
          <cell r="I1246" t="str">
            <v>Profit and Loss</v>
          </cell>
          <cell r="J1246" t="str">
            <v>XAF</v>
          </cell>
          <cell r="K1246" t="str">
            <v>Production immobilisée</v>
          </cell>
        </row>
        <row r="1247">
          <cell r="A1247" t="str">
            <v>A1246</v>
          </cell>
          <cell r="B1247" t="str">
            <v>"722000 - Immobilisations corporelles - OHADA"</v>
          </cell>
          <cell r="C1247" t="str">
            <v>Immobilisations corporelles</v>
          </cell>
          <cell r="D1247" t="str">
            <v>OHADA</v>
          </cell>
          <cell r="E1247" t="str">
            <v>720000 - Production immobilisée - OHADA</v>
          </cell>
          <cell r="F1247">
            <v>722000</v>
          </cell>
          <cell r="G1247" t="str">
            <v>1</v>
          </cell>
          <cell r="H1247" t="str">
            <v>Income</v>
          </cell>
          <cell r="I1247" t="str">
            <v>Profit and Loss</v>
          </cell>
          <cell r="J1247" t="str">
            <v>XAF</v>
          </cell>
          <cell r="K1247" t="str">
            <v>Production immobilisée</v>
          </cell>
        </row>
        <row r="1248">
          <cell r="A1248" t="str">
            <v>A1247</v>
          </cell>
          <cell r="B1248" t="str">
            <v>"722100 - Immobilisations corporelles (hors actifs biologiques) - OHADA"</v>
          </cell>
          <cell r="C1248" t="str">
            <v>Immobilisations corporelles (hors actifs biologiques)</v>
          </cell>
          <cell r="D1248" t="str">
            <v>OHADA</v>
          </cell>
          <cell r="E1248" t="str">
            <v>722000 - Immobilisations corporelles - OHADA</v>
          </cell>
          <cell r="F1248">
            <v>722100</v>
          </cell>
          <cell r="G1248" t="str">
            <v>0</v>
          </cell>
          <cell r="H1248" t="str">
            <v>Income</v>
          </cell>
          <cell r="I1248" t="str">
            <v>Profit and Loss</v>
          </cell>
          <cell r="J1248" t="str">
            <v>XAF</v>
          </cell>
          <cell r="K1248" t="str">
            <v>Production immobilisée</v>
          </cell>
        </row>
        <row r="1249">
          <cell r="A1249" t="str">
            <v>A1248</v>
          </cell>
          <cell r="B1249" t="str">
            <v>"722200 - Immobilisations corporelles (actifs biologiques) - OHADA"</v>
          </cell>
          <cell r="C1249" t="str">
            <v>Immobilisations corporelles (actifs biologiques)</v>
          </cell>
          <cell r="D1249" t="str">
            <v>OHADA</v>
          </cell>
          <cell r="E1249" t="str">
            <v>722000 - Immobilisations corporelles - OHADA</v>
          </cell>
          <cell r="F1249">
            <v>722200</v>
          </cell>
          <cell r="G1249" t="str">
            <v>0</v>
          </cell>
          <cell r="H1249" t="str">
            <v>Income</v>
          </cell>
          <cell r="I1249" t="str">
            <v>Profit and Loss</v>
          </cell>
          <cell r="J1249" t="str">
            <v>XAF</v>
          </cell>
          <cell r="K1249" t="str">
            <v>Production immobilisée</v>
          </cell>
        </row>
        <row r="1250">
          <cell r="A1250" t="str">
            <v>A1249</v>
          </cell>
          <cell r="B1250" t="str">
            <v>"724000 - Production auto - consommée - OHADA"</v>
          </cell>
          <cell r="C1250" t="str">
            <v>Production auto-consommée</v>
          </cell>
          <cell r="D1250" t="str">
            <v>OHADA</v>
          </cell>
          <cell r="E1250" t="str">
            <v>720000 - Production immobilisée - OHADA</v>
          </cell>
          <cell r="F1250">
            <v>724000</v>
          </cell>
          <cell r="G1250" t="str">
            <v>0</v>
          </cell>
          <cell r="H1250" t="str">
            <v>Income</v>
          </cell>
          <cell r="I1250" t="str">
            <v>Profit and Loss</v>
          </cell>
          <cell r="J1250" t="str">
            <v>XAF</v>
          </cell>
          <cell r="K1250" t="str">
            <v>Production immobilisée</v>
          </cell>
        </row>
        <row r="1251">
          <cell r="A1251" t="str">
            <v>A1250</v>
          </cell>
          <cell r="B1251" t="str">
            <v>"726000 - Immobilisations financières - OHADA"</v>
          </cell>
          <cell r="C1251" t="str">
            <v>Immobilisations financières</v>
          </cell>
          <cell r="D1251" t="str">
            <v>OHADA</v>
          </cell>
          <cell r="E1251" t="str">
            <v>720000 - Production immobilisée - OHADA</v>
          </cell>
          <cell r="F1251">
            <v>726000</v>
          </cell>
          <cell r="G1251" t="str">
            <v>0</v>
          </cell>
          <cell r="H1251" t="str">
            <v>Income</v>
          </cell>
          <cell r="I1251" t="str">
            <v>Profit and Loss</v>
          </cell>
          <cell r="J1251" t="str">
            <v>XAF</v>
          </cell>
          <cell r="K1251" t="str">
            <v>Production immobilisée</v>
          </cell>
        </row>
        <row r="1252">
          <cell r="A1252" t="str">
            <v>A1251</v>
          </cell>
          <cell r="B1252" t="str">
            <v>"730000 - Variations des stocks de biens et de services produits - OHADA"</v>
          </cell>
          <cell r="C1252" t="str">
            <v>Variations des stocks de biens et de services produits</v>
          </cell>
          <cell r="D1252" t="str">
            <v>OHADA</v>
          </cell>
          <cell r="E1252" t="str">
            <v>7 - Comptes de produits des activités ordinaires - OHADA</v>
          </cell>
          <cell r="F1252">
            <v>730000</v>
          </cell>
          <cell r="G1252" t="str">
            <v>1</v>
          </cell>
          <cell r="H1252" t="str">
            <v>Income</v>
          </cell>
          <cell r="I1252" t="str">
            <v>Profit and Loss</v>
          </cell>
          <cell r="J1252" t="str">
            <v>XAF</v>
          </cell>
          <cell r="K1252" t="str">
            <v>Production stockées (ou déstockage)</v>
          </cell>
        </row>
        <row r="1253">
          <cell r="A1253" t="str">
            <v>A1252</v>
          </cell>
          <cell r="B1253" t="str">
            <v>"734000 - Variations des stocks de produits en cours - OHADA"</v>
          </cell>
          <cell r="C1253" t="str">
            <v>Variations des stocks de produits en cours</v>
          </cell>
          <cell r="D1253" t="str">
            <v>OHADA</v>
          </cell>
          <cell r="E1253" t="str">
            <v>730000 - Variations des stocks de biens et de services produits - OHADA</v>
          </cell>
          <cell r="F1253">
            <v>734000</v>
          </cell>
          <cell r="G1253" t="str">
            <v>1</v>
          </cell>
          <cell r="H1253" t="str">
            <v>Income</v>
          </cell>
          <cell r="I1253" t="str">
            <v>Profit and Loss</v>
          </cell>
          <cell r="J1253" t="str">
            <v>XAF</v>
          </cell>
          <cell r="K1253" t="str">
            <v>Production stockées (ou déstockage)</v>
          </cell>
        </row>
        <row r="1254">
          <cell r="A1254" t="str">
            <v>A1253</v>
          </cell>
          <cell r="B1254" t="str">
            <v>"734100 - Produits en cours - OHADA"</v>
          </cell>
          <cell r="C1254" t="str">
            <v>Produits en cours</v>
          </cell>
          <cell r="D1254" t="str">
            <v>OHADA</v>
          </cell>
          <cell r="E1254" t="str">
            <v>734000 - Variations des stocks de produits en cours - OHADA</v>
          </cell>
          <cell r="F1254">
            <v>734100</v>
          </cell>
          <cell r="G1254" t="str">
            <v>0</v>
          </cell>
          <cell r="H1254" t="str">
            <v>Income</v>
          </cell>
          <cell r="I1254" t="str">
            <v>Profit and Loss</v>
          </cell>
          <cell r="J1254" t="str">
            <v>XAF</v>
          </cell>
          <cell r="K1254" t="str">
            <v>Production stockées (ou déstockage)</v>
          </cell>
        </row>
        <row r="1255">
          <cell r="A1255" t="str">
            <v>A1254</v>
          </cell>
          <cell r="B1255" t="str">
            <v>"734200 - Travaux en cours - OHADA"</v>
          </cell>
          <cell r="C1255" t="str">
            <v>Travaux en cours</v>
          </cell>
          <cell r="D1255" t="str">
            <v>OHADA</v>
          </cell>
          <cell r="E1255" t="str">
            <v>734000 - Variations des stocks de produits en cours - OHADA</v>
          </cell>
          <cell r="F1255">
            <v>734200</v>
          </cell>
          <cell r="G1255" t="str">
            <v>0</v>
          </cell>
          <cell r="H1255" t="str">
            <v>Income</v>
          </cell>
          <cell r="I1255" t="str">
            <v>Profit and Loss</v>
          </cell>
          <cell r="J1255" t="str">
            <v>XAF</v>
          </cell>
          <cell r="K1255" t="str">
            <v>Production stockées (ou déstockage)</v>
          </cell>
        </row>
        <row r="1256">
          <cell r="A1256" t="str">
            <v>A1255</v>
          </cell>
          <cell r="B1256" t="str">
            <v>"735000 - Variations des en - cours de services - OHADA"</v>
          </cell>
          <cell r="C1256" t="str">
            <v>Variations des en-cours de services</v>
          </cell>
          <cell r="D1256" t="str">
            <v>OHADA</v>
          </cell>
          <cell r="E1256" t="str">
            <v>730000 - Variations des stocks de biens et de services produits - OHADA</v>
          </cell>
          <cell r="F1256">
            <v>735000</v>
          </cell>
          <cell r="G1256" t="str">
            <v>1</v>
          </cell>
          <cell r="H1256" t="str">
            <v>Income</v>
          </cell>
          <cell r="I1256" t="str">
            <v>Profit and Loss</v>
          </cell>
          <cell r="J1256" t="str">
            <v>XAF</v>
          </cell>
          <cell r="K1256" t="str">
            <v>Production stockées (ou déstockage)</v>
          </cell>
        </row>
        <row r="1257">
          <cell r="A1257" t="str">
            <v>A1256</v>
          </cell>
          <cell r="B1257" t="str">
            <v>"735100 - Études en cours - OHADA"</v>
          </cell>
          <cell r="C1257" t="str">
            <v>Études en cours</v>
          </cell>
          <cell r="D1257" t="str">
            <v>OHADA</v>
          </cell>
          <cell r="E1257" t="str">
            <v>735000 - Variations des en-cours de services - OHADA</v>
          </cell>
          <cell r="F1257">
            <v>735100</v>
          </cell>
          <cell r="G1257" t="str">
            <v>0</v>
          </cell>
          <cell r="H1257" t="str">
            <v>Income</v>
          </cell>
          <cell r="I1257" t="str">
            <v>Profit and Loss</v>
          </cell>
          <cell r="J1257" t="str">
            <v>XAF</v>
          </cell>
          <cell r="K1257" t="str">
            <v>Production stockées (ou déstockage)</v>
          </cell>
        </row>
        <row r="1258">
          <cell r="A1258" t="str">
            <v>A1257</v>
          </cell>
          <cell r="B1258" t="str">
            <v>"735200 - Prestations de services en cours - OHADA"</v>
          </cell>
          <cell r="C1258" t="str">
            <v>Prestations de services en cours</v>
          </cell>
          <cell r="D1258" t="str">
            <v>OHADA</v>
          </cell>
          <cell r="E1258" t="str">
            <v>735000 - Variations des en-cours de services - OHADA</v>
          </cell>
          <cell r="F1258">
            <v>735200</v>
          </cell>
          <cell r="G1258" t="str">
            <v>0</v>
          </cell>
          <cell r="H1258" t="str">
            <v>Income</v>
          </cell>
          <cell r="I1258" t="str">
            <v>Profit and Loss</v>
          </cell>
          <cell r="J1258" t="str">
            <v>XAF</v>
          </cell>
          <cell r="K1258" t="str">
            <v>Production stockées (ou déstockage)</v>
          </cell>
        </row>
        <row r="1259">
          <cell r="A1259" t="str">
            <v>A1258</v>
          </cell>
          <cell r="B1259" t="str">
            <v>"736000 - Variations des stocks de produits finis - OHADA"</v>
          </cell>
          <cell r="C1259" t="str">
            <v>Variations des stocks de produits finis</v>
          </cell>
          <cell r="D1259" t="str">
            <v>OHADA</v>
          </cell>
          <cell r="E1259" t="str">
            <v>730000 - Variations des stocks de biens et de services produits - OHADA</v>
          </cell>
          <cell r="F1259">
            <v>736000</v>
          </cell>
          <cell r="G1259" t="str">
            <v>0</v>
          </cell>
          <cell r="H1259" t="str">
            <v>Income</v>
          </cell>
          <cell r="I1259" t="str">
            <v>Profit and Loss</v>
          </cell>
          <cell r="J1259" t="str">
            <v>XAF</v>
          </cell>
          <cell r="K1259" t="str">
            <v>Production stockées (ou déstockage)</v>
          </cell>
        </row>
        <row r="1260">
          <cell r="A1260" t="str">
            <v>A1259</v>
          </cell>
          <cell r="B1260" t="str">
            <v>"737000 - Variations des stocks de produits intermédiaires et résiduels - OHADA"</v>
          </cell>
          <cell r="C1260" t="str">
            <v>Variations des stocks de produits intermédiaires et résiduels</v>
          </cell>
          <cell r="D1260" t="str">
            <v>OHADA</v>
          </cell>
          <cell r="E1260" t="str">
            <v>730000 - Variations des stocks de biens et de services produits - OHADA</v>
          </cell>
          <cell r="F1260">
            <v>737000</v>
          </cell>
          <cell r="G1260" t="str">
            <v>1</v>
          </cell>
          <cell r="H1260" t="str">
            <v>Income</v>
          </cell>
          <cell r="I1260" t="str">
            <v>Profit and Loss</v>
          </cell>
          <cell r="J1260" t="str">
            <v>XAF</v>
          </cell>
          <cell r="K1260" t="str">
            <v>Production stockées (ou déstockage)</v>
          </cell>
        </row>
        <row r="1261">
          <cell r="A1261" t="str">
            <v>A1260</v>
          </cell>
          <cell r="B1261" t="str">
            <v>"737100 - Produits intermédiaires - OHADA"</v>
          </cell>
          <cell r="C1261" t="str">
            <v>Produits intermédiaires</v>
          </cell>
          <cell r="D1261" t="str">
            <v>OHADA</v>
          </cell>
          <cell r="E1261" t="str">
            <v>737000 - Variations des stocks de produits intermédiaires et résiduels - OHADA</v>
          </cell>
          <cell r="F1261">
            <v>737100</v>
          </cell>
          <cell r="G1261" t="str">
            <v>0</v>
          </cell>
          <cell r="H1261" t="str">
            <v>Income</v>
          </cell>
          <cell r="I1261" t="str">
            <v>Profit and Loss</v>
          </cell>
          <cell r="J1261" t="str">
            <v>XAF</v>
          </cell>
          <cell r="K1261" t="str">
            <v>Production stockées (ou déstockage)</v>
          </cell>
        </row>
        <row r="1262">
          <cell r="A1262" t="str">
            <v>A1261</v>
          </cell>
          <cell r="B1262" t="str">
            <v>"737200 - Produits résiduels - OHADA"</v>
          </cell>
          <cell r="C1262" t="str">
            <v>Produits résiduels</v>
          </cell>
          <cell r="D1262" t="str">
            <v>OHADA</v>
          </cell>
          <cell r="E1262" t="str">
            <v>737000 - Variations des stocks de produits intermédiaires et résiduels - OHADA</v>
          </cell>
          <cell r="F1262">
            <v>737200</v>
          </cell>
          <cell r="G1262" t="str">
            <v>0</v>
          </cell>
          <cell r="H1262" t="str">
            <v>Income</v>
          </cell>
          <cell r="I1262" t="str">
            <v>Profit and Loss</v>
          </cell>
          <cell r="J1262" t="str">
            <v>XAF</v>
          </cell>
          <cell r="K1262" t="str">
            <v>Production stockées (ou déstockage)</v>
          </cell>
        </row>
        <row r="1263">
          <cell r="A1263" t="str">
            <v>A1262</v>
          </cell>
          <cell r="B1263" t="str">
            <v>"750000 - Autres produits - OHADA"</v>
          </cell>
          <cell r="C1263" t="str">
            <v>Autres produits</v>
          </cell>
          <cell r="D1263" t="str">
            <v>OHADA</v>
          </cell>
          <cell r="E1263" t="str">
            <v>7 - Comptes de produits des activités ordinaires - OHADA</v>
          </cell>
          <cell r="F1263">
            <v>750000</v>
          </cell>
          <cell r="G1263" t="str">
            <v>1</v>
          </cell>
          <cell r="H1263" t="str">
            <v>Income</v>
          </cell>
          <cell r="I1263" t="str">
            <v>Profit and Loss</v>
          </cell>
          <cell r="J1263" t="str">
            <v>XAF</v>
          </cell>
          <cell r="K1263" t="str">
            <v>Autres produits</v>
          </cell>
        </row>
        <row r="1264">
          <cell r="A1264" t="str">
            <v>A1263</v>
          </cell>
          <cell r="B1264" t="str">
            <v>"751000 - Profits sur créances clients et autres débiteurs - OHADA"</v>
          </cell>
          <cell r="C1264" t="str">
            <v>Profits sur créances clients et autres débiteurs</v>
          </cell>
          <cell r="D1264" t="str">
            <v>OHADA</v>
          </cell>
          <cell r="E1264" t="str">
            <v>750000 - Autres produits - OHADA</v>
          </cell>
          <cell r="F1264">
            <v>751000</v>
          </cell>
          <cell r="G1264" t="str">
            <v>0</v>
          </cell>
          <cell r="H1264" t="str">
            <v>Income</v>
          </cell>
          <cell r="I1264" t="str">
            <v>Profit and Loss</v>
          </cell>
          <cell r="J1264" t="str">
            <v>XAF</v>
          </cell>
          <cell r="K1264" t="str">
            <v>Autres produits</v>
          </cell>
        </row>
        <row r="1265">
          <cell r="A1265" t="str">
            <v>A1264</v>
          </cell>
          <cell r="B1265" t="str">
            <v>"752000 - Quote - part de résultat sur opérations faites en commun - OHADA"</v>
          </cell>
          <cell r="C1265" t="str">
            <v>Quote-part de résultat sur opérations faites en commun</v>
          </cell>
          <cell r="D1265" t="str">
            <v>OHADA</v>
          </cell>
          <cell r="E1265" t="str">
            <v>750000 - Autres produits - OHADA</v>
          </cell>
          <cell r="F1265">
            <v>752000</v>
          </cell>
          <cell r="G1265" t="str">
            <v>1</v>
          </cell>
          <cell r="H1265" t="str">
            <v>Income</v>
          </cell>
          <cell r="I1265" t="str">
            <v>Profit and Loss</v>
          </cell>
          <cell r="J1265" t="str">
            <v>XAF</v>
          </cell>
          <cell r="K1265" t="str">
            <v>Autres produits</v>
          </cell>
        </row>
        <row r="1266">
          <cell r="A1266" t="str">
            <v>A1265</v>
          </cell>
          <cell r="B1266" t="str">
            <v>"752100 - Quote - part transférée de pertes (comptabilité du gérant) - OHADA"</v>
          </cell>
          <cell r="C1266" t="str">
            <v>Quote-part transférée de pertes (comptabilité du gérant)</v>
          </cell>
          <cell r="D1266" t="str">
            <v>OHADA</v>
          </cell>
          <cell r="E1266" t="str">
            <v>752000 - Quote-part de résultat sur opérations faites en commun - OHADA</v>
          </cell>
          <cell r="F1266">
            <v>752100</v>
          </cell>
          <cell r="G1266" t="str">
            <v>0</v>
          </cell>
          <cell r="H1266" t="str">
            <v>Income</v>
          </cell>
          <cell r="I1266" t="str">
            <v>Profit and Loss</v>
          </cell>
          <cell r="J1266" t="str">
            <v>XAF</v>
          </cell>
          <cell r="K1266" t="str">
            <v>Autres produits</v>
          </cell>
        </row>
        <row r="1267">
          <cell r="A1267" t="str">
            <v>A1266</v>
          </cell>
          <cell r="B1267" t="str">
            <v>"752500 - Bénéfices attribués par transfert (comptabilité des associés non gérants) - OHADA"</v>
          </cell>
          <cell r="C1267" t="str">
            <v>Bénéfices attribués par transfert (comptabilité des associés non gérants)</v>
          </cell>
          <cell r="D1267" t="str">
            <v>OHADA</v>
          </cell>
          <cell r="E1267" t="str">
            <v>752000 - Quote-part de résultat sur opérations faites en commun - OHADA</v>
          </cell>
          <cell r="F1267">
            <v>752500</v>
          </cell>
          <cell r="G1267" t="str">
            <v>0</v>
          </cell>
          <cell r="H1267" t="str">
            <v>Income</v>
          </cell>
          <cell r="I1267" t="str">
            <v>Profit and Loss</v>
          </cell>
          <cell r="J1267" t="str">
            <v>XAF</v>
          </cell>
          <cell r="K1267" t="str">
            <v>Autres produits</v>
          </cell>
        </row>
        <row r="1268">
          <cell r="A1268" t="str">
            <v>A1267</v>
          </cell>
          <cell r="B1268" t="str">
            <v>"754000 - Produits des cessions courantes d’immobilisations - OHADA"</v>
          </cell>
          <cell r="C1268" t="str">
            <v>Produits des cessions courantes d’immobilisations</v>
          </cell>
          <cell r="D1268" t="str">
            <v>OHADA</v>
          </cell>
          <cell r="E1268" t="str">
            <v>750000 - Autres produits - OHADA</v>
          </cell>
          <cell r="F1268">
            <v>754000</v>
          </cell>
          <cell r="G1268" t="str">
            <v>1</v>
          </cell>
          <cell r="H1268" t="str">
            <v>Income</v>
          </cell>
          <cell r="I1268" t="str">
            <v>Profit and Loss</v>
          </cell>
          <cell r="J1268" t="str">
            <v>XAF</v>
          </cell>
          <cell r="K1268" t="str">
            <v>Autres produits</v>
          </cell>
        </row>
        <row r="1269">
          <cell r="A1269" t="str">
            <v>A1268</v>
          </cell>
          <cell r="B1269" t="str">
            <v>"754100 - Immobilisations incorporelles - OHADA"</v>
          </cell>
          <cell r="C1269" t="str">
            <v>Immobilisations incorporelles</v>
          </cell>
          <cell r="D1269" t="str">
            <v>OHADA</v>
          </cell>
          <cell r="E1269" t="str">
            <v>754000 - Produits des cessions courantes d’immobilisations - OHADA</v>
          </cell>
          <cell r="F1269">
            <v>754100</v>
          </cell>
          <cell r="G1269" t="str">
            <v>0</v>
          </cell>
          <cell r="H1269" t="str">
            <v>Income</v>
          </cell>
          <cell r="I1269" t="str">
            <v>Profit and Loss</v>
          </cell>
          <cell r="J1269" t="str">
            <v>XAF</v>
          </cell>
          <cell r="K1269" t="str">
            <v>Autres produits</v>
          </cell>
        </row>
        <row r="1270">
          <cell r="A1270" t="str">
            <v>A1269</v>
          </cell>
          <cell r="B1270" t="str">
            <v>"754200 - Immobilisations corporelles - OHADA"</v>
          </cell>
          <cell r="C1270" t="str">
            <v>Immobilisations corporelles</v>
          </cell>
          <cell r="D1270" t="str">
            <v>OHADA</v>
          </cell>
          <cell r="E1270" t="str">
            <v>754000 - Produits des cessions courantes d’immobilisations - OHADA</v>
          </cell>
          <cell r="F1270">
            <v>754200</v>
          </cell>
          <cell r="G1270" t="str">
            <v>0</v>
          </cell>
          <cell r="H1270" t="str">
            <v>Income</v>
          </cell>
          <cell r="I1270" t="str">
            <v>Profit and Loss</v>
          </cell>
          <cell r="J1270" t="str">
            <v>XAF</v>
          </cell>
          <cell r="K1270" t="str">
            <v>Autres produits</v>
          </cell>
        </row>
        <row r="1271">
          <cell r="A1271" t="str">
            <v>A1270</v>
          </cell>
          <cell r="B1271" t="str">
            <v>"756000 - Gains de change sur créances et dettes commerciales - OHADA"</v>
          </cell>
          <cell r="C1271" t="str">
            <v>Gains de change sur créances et dettes commerciales</v>
          </cell>
          <cell r="D1271" t="str">
            <v>OHADA</v>
          </cell>
          <cell r="E1271" t="str">
            <v>750000 - Autres produits - OHADA</v>
          </cell>
          <cell r="F1271">
            <v>756000</v>
          </cell>
          <cell r="G1271" t="str">
            <v>0</v>
          </cell>
          <cell r="H1271" t="str">
            <v>Income</v>
          </cell>
          <cell r="I1271" t="str">
            <v>Profit and Loss</v>
          </cell>
          <cell r="J1271" t="str">
            <v>XAF</v>
          </cell>
          <cell r="K1271" t="str">
            <v>Autres produits</v>
          </cell>
        </row>
        <row r="1272">
          <cell r="A1272" t="str">
            <v>A1271</v>
          </cell>
          <cell r="B1272" t="str">
            <v>"758000 - Produits divers - OHADA"</v>
          </cell>
          <cell r="C1272" t="str">
            <v>Produits divers</v>
          </cell>
          <cell r="D1272" t="str">
            <v>OHADA</v>
          </cell>
          <cell r="E1272" t="str">
            <v>750000 - Autres produits - OHADA</v>
          </cell>
          <cell r="F1272">
            <v>758000</v>
          </cell>
          <cell r="G1272" t="str">
            <v>1</v>
          </cell>
          <cell r="H1272" t="str">
            <v>Income</v>
          </cell>
          <cell r="I1272" t="str">
            <v>Profit and Loss</v>
          </cell>
          <cell r="J1272" t="str">
            <v>XAF</v>
          </cell>
          <cell r="K1272" t="str">
            <v>Autres produits</v>
          </cell>
        </row>
        <row r="1273">
          <cell r="A1273" t="str">
            <v>A1272</v>
          </cell>
          <cell r="B1273" t="str">
            <v>"758100 - Indemnités de fonction et autres rémunérations d’administrateurs - OHADA"</v>
          </cell>
          <cell r="C1273" t="str">
            <v>Indemnités de fonction et autres rémunérations d’administrateurs</v>
          </cell>
          <cell r="D1273" t="str">
            <v>OHADA</v>
          </cell>
          <cell r="E1273" t="str">
            <v>758000 - Produits divers - OHADA</v>
          </cell>
          <cell r="F1273">
            <v>758100</v>
          </cell>
          <cell r="G1273" t="str">
            <v>0</v>
          </cell>
          <cell r="H1273" t="str">
            <v>Income</v>
          </cell>
          <cell r="I1273" t="str">
            <v>Profit and Loss</v>
          </cell>
          <cell r="J1273" t="str">
            <v>XAF</v>
          </cell>
          <cell r="K1273" t="str">
            <v>Autres produits</v>
          </cell>
        </row>
        <row r="1274">
          <cell r="A1274" t="str">
            <v>A1273</v>
          </cell>
          <cell r="B1274" t="str">
            <v>"758200 - Indemnités d’assurances reçues - OHADA"</v>
          </cell>
          <cell r="C1274" t="str">
            <v>Indemnités d’assurances reçues</v>
          </cell>
          <cell r="D1274" t="str">
            <v>OHADA</v>
          </cell>
          <cell r="E1274" t="str">
            <v>758000 - Produits divers - OHADA</v>
          </cell>
          <cell r="F1274">
            <v>758200</v>
          </cell>
          <cell r="G1274" t="str">
            <v>0</v>
          </cell>
          <cell r="H1274" t="str">
            <v>Income</v>
          </cell>
          <cell r="I1274" t="str">
            <v>Profit and Loss</v>
          </cell>
          <cell r="J1274" t="str">
            <v>XAF</v>
          </cell>
          <cell r="K1274" t="str">
            <v>Autres produits</v>
          </cell>
        </row>
        <row r="1275">
          <cell r="A1275" t="str">
            <v>A1274</v>
          </cell>
          <cell r="B1275" t="str">
            <v>"758800 - Autres produits divers - OHADA"</v>
          </cell>
          <cell r="C1275" t="str">
            <v>Autres produits divers</v>
          </cell>
          <cell r="D1275" t="str">
            <v>OHADA</v>
          </cell>
          <cell r="E1275" t="str">
            <v>758000 - Produits divers - OHADA</v>
          </cell>
          <cell r="F1275">
            <v>758800</v>
          </cell>
          <cell r="G1275" t="str">
            <v>0</v>
          </cell>
          <cell r="H1275" t="str">
            <v>Income</v>
          </cell>
          <cell r="I1275" t="str">
            <v>Profit and Loss</v>
          </cell>
          <cell r="J1275" t="str">
            <v>XAF</v>
          </cell>
          <cell r="K1275" t="str">
            <v>Autres produits</v>
          </cell>
        </row>
        <row r="1276">
          <cell r="A1276" t="str">
            <v>A1275</v>
          </cell>
          <cell r="B1276" t="str">
            <v>"759000 - Reprises de charges pour dépréciations et provisions pour risques à court terme d’exploitation - OHADA"</v>
          </cell>
          <cell r="C1276" t="str">
            <v>Reprises de charges pour dépréciations et provisions pour risques à court terme d’exploitation</v>
          </cell>
          <cell r="D1276" t="str">
            <v>OHADA</v>
          </cell>
          <cell r="E1276" t="str">
            <v>750000 - Autres produits - OHADA</v>
          </cell>
          <cell r="F1276">
            <v>759000</v>
          </cell>
          <cell r="G1276" t="str">
            <v>1</v>
          </cell>
          <cell r="H1276" t="str">
            <v>Income</v>
          </cell>
          <cell r="I1276" t="str">
            <v>Profit and Loss</v>
          </cell>
          <cell r="J1276" t="str">
            <v>XAF</v>
          </cell>
          <cell r="K1276" t="str">
            <v>Autres produits</v>
          </cell>
        </row>
        <row r="1277">
          <cell r="A1277" t="str">
            <v>A1276</v>
          </cell>
          <cell r="B1277" t="str">
            <v>"759100 - Sur risques à court terme - OHADA"</v>
          </cell>
          <cell r="C1277" t="str">
            <v>Sur risques à court terme</v>
          </cell>
          <cell r="D1277" t="str">
            <v>OHADA</v>
          </cell>
          <cell r="E1277" t="str">
            <v>759000 - Reprises de charges pour dépréciations et provisions pour risques à court terme d’exploitation - OHADA</v>
          </cell>
          <cell r="F1277">
            <v>759100</v>
          </cell>
          <cell r="G1277" t="str">
            <v>0</v>
          </cell>
          <cell r="H1277" t="str">
            <v>Income</v>
          </cell>
          <cell r="I1277" t="str">
            <v>Profit and Loss</v>
          </cell>
          <cell r="J1277" t="str">
            <v>XAF</v>
          </cell>
          <cell r="K1277" t="str">
            <v>Autres produits</v>
          </cell>
        </row>
        <row r="1278">
          <cell r="A1278" t="str">
            <v>A1277</v>
          </cell>
          <cell r="B1278" t="str">
            <v>"759300 - Sur stocks - OHADA"</v>
          </cell>
          <cell r="C1278" t="str">
            <v>Sur stocks</v>
          </cell>
          <cell r="D1278" t="str">
            <v>OHADA</v>
          </cell>
          <cell r="E1278" t="str">
            <v>759000 - Reprises de charges pour dépréciations et provisions pour risques à court terme d’exploitation - OHADA</v>
          </cell>
          <cell r="F1278">
            <v>759300</v>
          </cell>
          <cell r="G1278" t="str">
            <v>0</v>
          </cell>
          <cell r="H1278" t="str">
            <v>Income</v>
          </cell>
          <cell r="I1278" t="str">
            <v>Profit and Loss</v>
          </cell>
          <cell r="J1278" t="str">
            <v>XAF</v>
          </cell>
          <cell r="K1278" t="str">
            <v>Autres produits</v>
          </cell>
        </row>
        <row r="1279">
          <cell r="A1279" t="str">
            <v>A1278</v>
          </cell>
          <cell r="B1279" t="str">
            <v>"759400 - Sur créances - OHADA"</v>
          </cell>
          <cell r="C1279" t="str">
            <v>Sur créances</v>
          </cell>
          <cell r="D1279" t="str">
            <v>OHADA</v>
          </cell>
          <cell r="E1279" t="str">
            <v>759000 - Reprises de charges pour dépréciations et provisions pour risques à court terme d’exploitation - OHADA</v>
          </cell>
          <cell r="F1279">
            <v>759400</v>
          </cell>
          <cell r="G1279" t="str">
            <v>0</v>
          </cell>
          <cell r="H1279" t="str">
            <v>Income</v>
          </cell>
          <cell r="I1279" t="str">
            <v>Profit and Loss</v>
          </cell>
          <cell r="J1279" t="str">
            <v>XAF</v>
          </cell>
          <cell r="K1279" t="str">
            <v>Autres produits</v>
          </cell>
        </row>
        <row r="1280">
          <cell r="A1280" t="str">
            <v>A1279</v>
          </cell>
          <cell r="B1280" t="str">
            <v>"759800 - Sur autres charges pour dépréciations et provisions pour risques à court terme d’exploitation - OHADA"</v>
          </cell>
          <cell r="C1280" t="str">
            <v>Sur autres charges pour dépréciations et provisions pour risques à court terme d’exploitation</v>
          </cell>
          <cell r="D1280" t="str">
            <v>OHADA</v>
          </cell>
          <cell r="E1280" t="str">
            <v>759000 - Reprises de charges pour dépréciations et provisions pour risques à court terme d’exploitation - OHADA</v>
          </cell>
          <cell r="F1280">
            <v>759800</v>
          </cell>
          <cell r="G1280" t="str">
            <v>0</v>
          </cell>
          <cell r="H1280" t="str">
            <v>Income</v>
          </cell>
          <cell r="I1280" t="str">
            <v>Profit and Loss</v>
          </cell>
          <cell r="J1280" t="str">
            <v>XAF</v>
          </cell>
          <cell r="K1280" t="str">
            <v>Autres produits</v>
          </cell>
        </row>
        <row r="1281">
          <cell r="A1281" t="str">
            <v>A1280</v>
          </cell>
          <cell r="B1281" t="str">
            <v>"770000 - Revenus financiers et produits assimilés - OHADA"</v>
          </cell>
          <cell r="C1281" t="str">
            <v>Revenus financiers et produits assimilés</v>
          </cell>
          <cell r="D1281" t="str">
            <v>OHADA</v>
          </cell>
          <cell r="E1281" t="str">
            <v>7 - Comptes de produits des activités ordinaires - OHADA</v>
          </cell>
          <cell r="F1281">
            <v>770000</v>
          </cell>
          <cell r="G1281" t="str">
            <v>1</v>
          </cell>
          <cell r="H1281" t="str">
            <v>Income</v>
          </cell>
          <cell r="I1281" t="str">
            <v>Profit and Loss</v>
          </cell>
          <cell r="J1281" t="str">
            <v>XAF</v>
          </cell>
          <cell r="K1281" t="str">
            <v>Revenus financiers et assimilés</v>
          </cell>
        </row>
        <row r="1282">
          <cell r="A1282" t="str">
            <v>A1281</v>
          </cell>
          <cell r="B1282" t="str">
            <v>"771000 - Intérêts de prêts et créances diverses - OHADA"</v>
          </cell>
          <cell r="C1282" t="str">
            <v>Intérêts de prêts et créances diverses</v>
          </cell>
          <cell r="D1282" t="str">
            <v>OHADA</v>
          </cell>
          <cell r="E1282" t="str">
            <v>770000 - Revenus financiers et produits assimilés - OHADA</v>
          </cell>
          <cell r="F1282">
            <v>771000</v>
          </cell>
          <cell r="G1282" t="str">
            <v>1</v>
          </cell>
          <cell r="H1282" t="str">
            <v>Income</v>
          </cell>
          <cell r="I1282" t="str">
            <v>Profit and Loss</v>
          </cell>
          <cell r="J1282" t="str">
            <v>XAF</v>
          </cell>
          <cell r="K1282" t="str">
            <v>Revenus financiers et assimilés</v>
          </cell>
        </row>
        <row r="1283">
          <cell r="A1283" t="str">
            <v>A1282</v>
          </cell>
          <cell r="B1283" t="str">
            <v>"771200 - Intérêts de prêts - OHADA"</v>
          </cell>
          <cell r="C1283" t="str">
            <v>Intérêts de prêts</v>
          </cell>
          <cell r="D1283" t="str">
            <v>OHADA</v>
          </cell>
          <cell r="E1283" t="str">
            <v>771000 - Intérêts de prêts et créances diverses - OHADA</v>
          </cell>
          <cell r="F1283">
            <v>771200</v>
          </cell>
          <cell r="G1283" t="str">
            <v>0</v>
          </cell>
          <cell r="H1283" t="str">
            <v>Income</v>
          </cell>
          <cell r="I1283" t="str">
            <v>Profit and Loss</v>
          </cell>
          <cell r="J1283" t="str">
            <v>XAF</v>
          </cell>
          <cell r="K1283" t="str">
            <v>Revenus financiers et assimilés</v>
          </cell>
        </row>
        <row r="1284">
          <cell r="A1284" t="str">
            <v>A1283</v>
          </cell>
          <cell r="B1284" t="str">
            <v>"771300 - Intérêts sur créances diverses - OHADA"</v>
          </cell>
          <cell r="C1284" t="str">
            <v>Intérêts sur créances diverses</v>
          </cell>
          <cell r="D1284" t="str">
            <v>OHADA</v>
          </cell>
          <cell r="E1284" t="str">
            <v>771000 - Intérêts de prêts et créances diverses - OHADA</v>
          </cell>
          <cell r="F1284">
            <v>771300</v>
          </cell>
          <cell r="G1284" t="str">
            <v>0</v>
          </cell>
          <cell r="H1284" t="str">
            <v>Income</v>
          </cell>
          <cell r="I1284" t="str">
            <v>Profit and Loss</v>
          </cell>
          <cell r="J1284" t="str">
            <v>XAF</v>
          </cell>
          <cell r="K1284" t="str">
            <v>Revenus financiers et assimilés</v>
          </cell>
        </row>
        <row r="1285">
          <cell r="A1285" t="str">
            <v>A1284</v>
          </cell>
          <cell r="B1285" t="str">
            <v>"772000 - Revenus de participations et autres titres immobilisés - OHADA"</v>
          </cell>
          <cell r="C1285" t="str">
            <v>Revenus de participations et autres titres immobilisés</v>
          </cell>
          <cell r="D1285" t="str">
            <v>OHADA</v>
          </cell>
          <cell r="E1285" t="str">
            <v>770000 - Revenus financiers et produits assimilés - OHADA</v>
          </cell>
          <cell r="F1285">
            <v>772000</v>
          </cell>
          <cell r="G1285" t="str">
            <v>1</v>
          </cell>
          <cell r="H1285" t="str">
            <v>Income</v>
          </cell>
          <cell r="I1285" t="str">
            <v>Profit and Loss</v>
          </cell>
          <cell r="J1285" t="str">
            <v>XAF</v>
          </cell>
          <cell r="K1285" t="str">
            <v>Revenus financiers et assimilés</v>
          </cell>
        </row>
        <row r="1286">
          <cell r="A1286" t="str">
            <v>A1285</v>
          </cell>
          <cell r="B1286" t="str">
            <v>"772100 - Revenus des titres de participation - OHADA"</v>
          </cell>
          <cell r="C1286" t="str">
            <v>Revenus des titres de participation</v>
          </cell>
          <cell r="D1286" t="str">
            <v>OHADA</v>
          </cell>
          <cell r="E1286" t="str">
            <v>772000 - Revenus de participations et autres titres immobilisés - OHADA</v>
          </cell>
          <cell r="F1286">
            <v>772100</v>
          </cell>
          <cell r="G1286" t="str">
            <v>0</v>
          </cell>
          <cell r="H1286" t="str">
            <v>Income</v>
          </cell>
          <cell r="I1286" t="str">
            <v>Profit and Loss</v>
          </cell>
          <cell r="J1286" t="str">
            <v>XAF</v>
          </cell>
          <cell r="K1286" t="str">
            <v>Revenus financiers et assimilés</v>
          </cell>
        </row>
        <row r="1287">
          <cell r="A1287" t="str">
            <v>A1286</v>
          </cell>
          <cell r="B1287" t="str">
            <v>"772200 - Revenus autres titres immobilisés - OHADA"</v>
          </cell>
          <cell r="C1287" t="str">
            <v>Revenus autres titres immobilisés</v>
          </cell>
          <cell r="D1287" t="str">
            <v>OHADA</v>
          </cell>
          <cell r="E1287" t="str">
            <v>772000 - Revenus de participations et autres titres immobilisés - OHADA</v>
          </cell>
          <cell r="F1287">
            <v>772200</v>
          </cell>
          <cell r="G1287" t="str">
            <v>0</v>
          </cell>
          <cell r="H1287" t="str">
            <v>Income</v>
          </cell>
          <cell r="I1287" t="str">
            <v>Profit and Loss</v>
          </cell>
          <cell r="J1287" t="str">
            <v>XAF</v>
          </cell>
          <cell r="K1287" t="str">
            <v>Revenus financiers et assimilés</v>
          </cell>
        </row>
        <row r="1288">
          <cell r="A1288" t="str">
            <v>A1287</v>
          </cell>
          <cell r="B1288" t="str">
            <v>"773000 - Escomptes obtenus - OHADA"</v>
          </cell>
          <cell r="C1288" t="str">
            <v>Escomptes obtenus</v>
          </cell>
          <cell r="D1288" t="str">
            <v>OHADA</v>
          </cell>
          <cell r="E1288" t="str">
            <v>770000 - Revenus financiers et produits assimilés - OHADA</v>
          </cell>
          <cell r="F1288">
            <v>773000</v>
          </cell>
          <cell r="G1288" t="str">
            <v>0</v>
          </cell>
          <cell r="H1288" t="str">
            <v>Income</v>
          </cell>
          <cell r="I1288" t="str">
            <v>Profit and Loss</v>
          </cell>
          <cell r="J1288" t="str">
            <v>XAF</v>
          </cell>
          <cell r="K1288" t="str">
            <v>Revenus financiers et assimilés</v>
          </cell>
        </row>
        <row r="1289">
          <cell r="A1289" t="str">
            <v>A1288</v>
          </cell>
          <cell r="B1289" t="str">
            <v>"774000 - Revenus de placement - OHADA"</v>
          </cell>
          <cell r="C1289" t="str">
            <v>Revenus de placement</v>
          </cell>
          <cell r="D1289" t="str">
            <v>OHADA</v>
          </cell>
          <cell r="E1289" t="str">
            <v>770000 - Revenus financiers et produits assimilés - OHADA</v>
          </cell>
          <cell r="F1289">
            <v>774000</v>
          </cell>
          <cell r="G1289" t="str">
            <v>1</v>
          </cell>
          <cell r="H1289" t="str">
            <v>Income</v>
          </cell>
          <cell r="I1289" t="str">
            <v>Profit and Loss</v>
          </cell>
          <cell r="J1289" t="str">
            <v>XAF</v>
          </cell>
          <cell r="K1289" t="str">
            <v>Revenus financiers et assimilés</v>
          </cell>
        </row>
        <row r="1290">
          <cell r="A1290" t="str">
            <v>A1289</v>
          </cell>
          <cell r="B1290" t="str">
            <v>"774500 - Revenus des obligations - OHADA"</v>
          </cell>
          <cell r="C1290" t="str">
            <v>Revenus des obligations</v>
          </cell>
          <cell r="D1290" t="str">
            <v>OHADA</v>
          </cell>
          <cell r="E1290" t="str">
            <v>774000 - Revenus de placement - OHADA</v>
          </cell>
          <cell r="F1290">
            <v>774500</v>
          </cell>
          <cell r="G1290" t="str">
            <v>0</v>
          </cell>
          <cell r="H1290" t="str">
            <v>Income</v>
          </cell>
          <cell r="I1290" t="str">
            <v>Profit and Loss</v>
          </cell>
          <cell r="J1290" t="str">
            <v>XAF</v>
          </cell>
          <cell r="K1290" t="str">
            <v>Revenus financiers et assimilés</v>
          </cell>
        </row>
        <row r="1291">
          <cell r="A1291" t="str">
            <v>A1290</v>
          </cell>
          <cell r="B1291" t="str">
            <v>"774600 - Revenus des titres de placement - OHADA"</v>
          </cell>
          <cell r="C1291" t="str">
            <v>Revenus des titres de placement</v>
          </cell>
          <cell r="D1291" t="str">
            <v>OHADA</v>
          </cell>
          <cell r="E1291" t="str">
            <v>774000 - Revenus de placement - OHADA</v>
          </cell>
          <cell r="F1291">
            <v>774600</v>
          </cell>
          <cell r="G1291" t="str">
            <v>0</v>
          </cell>
          <cell r="H1291" t="str">
            <v>Income</v>
          </cell>
          <cell r="I1291" t="str">
            <v>Profit and Loss</v>
          </cell>
          <cell r="J1291" t="str">
            <v>XAF</v>
          </cell>
          <cell r="K1291" t="str">
            <v>Revenus financiers et assimilés</v>
          </cell>
        </row>
        <row r="1292">
          <cell r="A1292" t="str">
            <v>A1291</v>
          </cell>
          <cell r="B1292" t="str">
            <v>"775000 - Intérêts dans loyers de location acquisition - OHADA"</v>
          </cell>
          <cell r="C1292" t="str">
            <v>Intérêts dans loyers de location acquisition</v>
          </cell>
          <cell r="D1292" t="str">
            <v>OHADA</v>
          </cell>
          <cell r="E1292" t="str">
            <v>770000 - Revenus financiers et produits assimilés - OHADA</v>
          </cell>
          <cell r="F1292">
            <v>775000</v>
          </cell>
          <cell r="G1292" t="str">
            <v>0</v>
          </cell>
          <cell r="H1292" t="str">
            <v>Income</v>
          </cell>
          <cell r="I1292" t="str">
            <v>Profit and Loss</v>
          </cell>
          <cell r="J1292" t="str">
            <v>XAF</v>
          </cell>
          <cell r="K1292" t="str">
            <v>Revenus financiers et assimilés</v>
          </cell>
        </row>
        <row r="1293">
          <cell r="A1293" t="str">
            <v>A1292</v>
          </cell>
          <cell r="B1293" t="str">
            <v>"776000 - Gains de change financiers - OHADA"</v>
          </cell>
          <cell r="C1293" t="str">
            <v>Gains de change financiers</v>
          </cell>
          <cell r="D1293" t="str">
            <v>OHADA</v>
          </cell>
          <cell r="E1293" t="str">
            <v>770000 - Revenus financiers et produits assimilés - OHADA</v>
          </cell>
          <cell r="F1293">
            <v>776000</v>
          </cell>
          <cell r="G1293" t="str">
            <v>0</v>
          </cell>
          <cell r="H1293" t="str">
            <v>Income</v>
          </cell>
          <cell r="I1293" t="str">
            <v>Profit and Loss</v>
          </cell>
          <cell r="J1293" t="str">
            <v>XAF</v>
          </cell>
          <cell r="K1293" t="str">
            <v>Revenus financiers et assimilés</v>
          </cell>
        </row>
        <row r="1294">
          <cell r="A1294" t="str">
            <v>A1293</v>
          </cell>
          <cell r="B1294" t="str">
            <v>"777000 - Gains sur cessions de titres de placement - OHADA"</v>
          </cell>
          <cell r="C1294" t="str">
            <v>Gains sur cessions de titres de placement</v>
          </cell>
          <cell r="D1294" t="str">
            <v>OHADA</v>
          </cell>
          <cell r="E1294" t="str">
            <v>770000 - Revenus financiers et produits assimilés - OHADA</v>
          </cell>
          <cell r="F1294">
            <v>777000</v>
          </cell>
          <cell r="G1294" t="str">
            <v>0</v>
          </cell>
          <cell r="H1294" t="str">
            <v>Income</v>
          </cell>
          <cell r="I1294" t="str">
            <v>Profit and Loss</v>
          </cell>
          <cell r="J1294" t="str">
            <v>XAF</v>
          </cell>
          <cell r="K1294" t="str">
            <v>Revenus financiers et assimilés</v>
          </cell>
        </row>
        <row r="1295">
          <cell r="A1295" t="str">
            <v>A1294</v>
          </cell>
          <cell r="B1295" t="str">
            <v>"778000 - Gains sur risques financiers - OHADA"</v>
          </cell>
          <cell r="C1295" t="str">
            <v>Gains sur risques financiers</v>
          </cell>
          <cell r="D1295" t="str">
            <v>OHADA</v>
          </cell>
          <cell r="E1295" t="str">
            <v>770000 - Revenus financiers et produits assimilés - OHADA</v>
          </cell>
          <cell r="F1295">
            <v>778000</v>
          </cell>
          <cell r="G1295" t="str">
            <v>1</v>
          </cell>
          <cell r="H1295" t="str">
            <v>Income</v>
          </cell>
          <cell r="I1295" t="str">
            <v>Profit and Loss</v>
          </cell>
          <cell r="J1295" t="str">
            <v>XAF</v>
          </cell>
          <cell r="K1295" t="str">
            <v>Revenus financiers et assimilés</v>
          </cell>
        </row>
        <row r="1296">
          <cell r="A1296" t="str">
            <v>A1295</v>
          </cell>
          <cell r="B1296" t="str">
            <v>"778100 - Sur rentes viagères - OHADA"</v>
          </cell>
          <cell r="C1296" t="str">
            <v>Sur rentes viagères</v>
          </cell>
          <cell r="D1296" t="str">
            <v>OHADA</v>
          </cell>
          <cell r="E1296" t="str">
            <v>778000 - Gains sur risques financiers - OHADA</v>
          </cell>
          <cell r="F1296">
            <v>778100</v>
          </cell>
          <cell r="G1296" t="str">
            <v>0</v>
          </cell>
          <cell r="H1296" t="str">
            <v>Income</v>
          </cell>
          <cell r="I1296" t="str">
            <v>Profit and Loss</v>
          </cell>
          <cell r="J1296" t="str">
            <v>XAF</v>
          </cell>
          <cell r="K1296" t="str">
            <v>Revenus financiers et assimilés</v>
          </cell>
        </row>
        <row r="1297">
          <cell r="A1297" t="str">
            <v>A1296</v>
          </cell>
          <cell r="B1297" t="str">
            <v>"778200 - Sur opérations financières - OHADA"</v>
          </cell>
          <cell r="C1297" t="str">
            <v>Sur opérations financières</v>
          </cell>
          <cell r="D1297" t="str">
            <v>OHADA</v>
          </cell>
          <cell r="E1297" t="str">
            <v>778000 - Gains sur risques financiers - OHADA</v>
          </cell>
          <cell r="F1297">
            <v>778200</v>
          </cell>
          <cell r="G1297" t="str">
            <v>0</v>
          </cell>
          <cell r="H1297" t="str">
            <v>Income</v>
          </cell>
          <cell r="I1297" t="str">
            <v>Profit and Loss</v>
          </cell>
          <cell r="J1297" t="str">
            <v>XAF</v>
          </cell>
          <cell r="K1297" t="str">
            <v>Revenus financiers et assimilés</v>
          </cell>
        </row>
        <row r="1298">
          <cell r="A1298" t="str">
            <v>A1297</v>
          </cell>
          <cell r="B1298" t="str">
            <v>"778400 - Sur instruments de trésorerie - OHADA"</v>
          </cell>
          <cell r="C1298" t="str">
            <v>Sur instruments de trésorerie</v>
          </cell>
          <cell r="D1298" t="str">
            <v>OHADA</v>
          </cell>
          <cell r="E1298" t="str">
            <v>778000 - Gains sur risques financiers - OHADA</v>
          </cell>
          <cell r="F1298">
            <v>778400</v>
          </cell>
          <cell r="G1298" t="str">
            <v>0</v>
          </cell>
          <cell r="H1298" t="str">
            <v>Income</v>
          </cell>
          <cell r="I1298" t="str">
            <v>Profit and Loss</v>
          </cell>
          <cell r="J1298" t="str">
            <v>XAF</v>
          </cell>
          <cell r="K1298" t="str">
            <v>Revenus financiers et assimilés</v>
          </cell>
        </row>
        <row r="1299">
          <cell r="A1299" t="str">
            <v>A1298</v>
          </cell>
          <cell r="B1299" t="str">
            <v>"779000 - Reprises de charges pour dépréciations et provisions à court terme financières - OHADA"</v>
          </cell>
          <cell r="C1299" t="str">
            <v>Reprises de charges pour dépréciations et provisions à court terme financières</v>
          </cell>
          <cell r="D1299" t="str">
            <v>OHADA</v>
          </cell>
          <cell r="E1299" t="str">
            <v>770000 - Revenus financiers et produits assimilés - OHADA</v>
          </cell>
          <cell r="F1299">
            <v>779000</v>
          </cell>
          <cell r="G1299" t="str">
            <v>1</v>
          </cell>
          <cell r="H1299" t="str">
            <v>Income</v>
          </cell>
          <cell r="I1299" t="str">
            <v>Profit and Loss</v>
          </cell>
          <cell r="J1299" t="str">
            <v>XAF</v>
          </cell>
          <cell r="K1299" t="str">
            <v>Revenus financiers et assimilés</v>
          </cell>
        </row>
        <row r="1300">
          <cell r="A1300" t="str">
            <v>A1299</v>
          </cell>
          <cell r="B1300" t="str">
            <v>"779100 - Sur risques financiers - OHADA"</v>
          </cell>
          <cell r="C1300" t="str">
            <v>Sur risques financiers</v>
          </cell>
          <cell r="D1300" t="str">
            <v>OHADA</v>
          </cell>
          <cell r="E1300" t="str">
            <v>779000 - Reprises de charges pour dépréciations et provisions à court terme financières - OHADA</v>
          </cell>
          <cell r="F1300">
            <v>779100</v>
          </cell>
          <cell r="G1300" t="str">
            <v>0</v>
          </cell>
          <cell r="H1300" t="str">
            <v>Income</v>
          </cell>
          <cell r="I1300" t="str">
            <v>Profit and Loss</v>
          </cell>
          <cell r="J1300" t="str">
            <v>XAF</v>
          </cell>
          <cell r="K1300" t="str">
            <v>Revenus financiers et assimilés</v>
          </cell>
        </row>
        <row r="1301">
          <cell r="A1301" t="str">
            <v>A1300</v>
          </cell>
          <cell r="B1301" t="str">
            <v>"779500 - Sur titres de placement - OHADA"</v>
          </cell>
          <cell r="C1301" t="str">
            <v>Sur titres de placement</v>
          </cell>
          <cell r="D1301" t="str">
            <v>OHADA</v>
          </cell>
          <cell r="E1301" t="str">
            <v>779000 - Reprises de charges pour dépréciations et provisions à court terme financières - OHADA</v>
          </cell>
          <cell r="F1301">
            <v>779500</v>
          </cell>
          <cell r="G1301" t="str">
            <v>0</v>
          </cell>
          <cell r="H1301" t="str">
            <v>Income</v>
          </cell>
          <cell r="I1301" t="str">
            <v>Profit and Loss</v>
          </cell>
          <cell r="J1301" t="str">
            <v>XAF</v>
          </cell>
          <cell r="K1301" t="str">
            <v>Revenus financiers et assimilés</v>
          </cell>
        </row>
        <row r="1302">
          <cell r="A1302" t="str">
            <v>A1301</v>
          </cell>
          <cell r="B1302" t="str">
            <v>"779800 - Sur autres charges pour dépréciations et provisions pour risques à court terme financières - OHADA"</v>
          </cell>
          <cell r="C1302" t="str">
            <v>Sur autres charges pour dépréciations et provisions pour risques à court terme financières</v>
          </cell>
          <cell r="D1302" t="str">
            <v>OHADA</v>
          </cell>
          <cell r="E1302" t="str">
            <v>779000 - Reprises de charges pour dépréciations et provisions à court terme financières - OHADA</v>
          </cell>
          <cell r="F1302">
            <v>779800</v>
          </cell>
          <cell r="G1302" t="str">
            <v>0</v>
          </cell>
          <cell r="H1302" t="str">
            <v>Income</v>
          </cell>
          <cell r="I1302" t="str">
            <v>Profit and Loss</v>
          </cell>
          <cell r="J1302" t="str">
            <v>XAF</v>
          </cell>
          <cell r="K1302" t="str">
            <v>Revenus financiers et assimilés</v>
          </cell>
        </row>
        <row r="1303">
          <cell r="A1303" t="str">
            <v>A1302</v>
          </cell>
          <cell r="B1303" t="str">
            <v>"780000 - Transferts de charges - OHADA"</v>
          </cell>
          <cell r="C1303" t="str">
            <v>Transferts de charges</v>
          </cell>
          <cell r="D1303" t="str">
            <v>OHADA</v>
          </cell>
          <cell r="E1303" t="str">
            <v>7 - Comptes de produits des activités ordinaires - OHADA</v>
          </cell>
          <cell r="F1303">
            <v>780000</v>
          </cell>
          <cell r="G1303" t="str">
            <v>1</v>
          </cell>
          <cell r="H1303" t="str">
            <v>Income</v>
          </cell>
          <cell r="I1303" t="str">
            <v>Profit and Loss</v>
          </cell>
          <cell r="J1303" t="str">
            <v>XAF</v>
          </cell>
        </row>
        <row r="1304">
          <cell r="A1304" t="str">
            <v>A1303</v>
          </cell>
          <cell r="B1304" t="str">
            <v>"781000 - Transferts de charges d’exploitation - OHADA"</v>
          </cell>
          <cell r="C1304" t="str">
            <v>Transferts de charges d’exploitation</v>
          </cell>
          <cell r="D1304" t="str">
            <v>OHADA</v>
          </cell>
          <cell r="E1304" t="str">
            <v>780000 - Transferts de charges - OHADA</v>
          </cell>
          <cell r="F1304">
            <v>781000</v>
          </cell>
          <cell r="G1304" t="str">
            <v>0</v>
          </cell>
          <cell r="H1304" t="str">
            <v>Income</v>
          </cell>
          <cell r="I1304" t="str">
            <v>Profit and Loss</v>
          </cell>
          <cell r="J1304" t="str">
            <v>XAF</v>
          </cell>
          <cell r="K1304" t="str">
            <v>Transferts de charges d’exploitation</v>
          </cell>
        </row>
        <row r="1305">
          <cell r="A1305" t="str">
            <v>A1304</v>
          </cell>
          <cell r="B1305" t="str">
            <v>"787000 - Transferts de charges financières - OHADA"</v>
          </cell>
          <cell r="C1305" t="str">
            <v>Transferts de charges financières</v>
          </cell>
          <cell r="D1305" t="str">
            <v>OHADA</v>
          </cell>
          <cell r="E1305" t="str">
            <v>780000 - Transferts de charges - OHADA</v>
          </cell>
          <cell r="F1305">
            <v>787000</v>
          </cell>
          <cell r="G1305" t="str">
            <v>0</v>
          </cell>
          <cell r="H1305" t="str">
            <v>Income</v>
          </cell>
          <cell r="I1305" t="str">
            <v>Profit and Loss</v>
          </cell>
          <cell r="J1305" t="str">
            <v>XAF</v>
          </cell>
          <cell r="K1305" t="str">
            <v>Transferts de charges financières</v>
          </cell>
        </row>
        <row r="1306">
          <cell r="A1306" t="str">
            <v>A1305</v>
          </cell>
          <cell r="B1306" t="str">
            <v>"790000 - Reprises de provisions, de dépréciations et autres - OHADA"</v>
          </cell>
          <cell r="C1306" t="str">
            <v>Reprises de provisions, de dépréciations et autres</v>
          </cell>
          <cell r="D1306" t="str">
            <v>OHADA</v>
          </cell>
          <cell r="E1306" t="str">
            <v>7 - Comptes de produits des activités ordinaires - OHADA</v>
          </cell>
          <cell r="F1306">
            <v>790000</v>
          </cell>
          <cell r="G1306" t="str">
            <v>1</v>
          </cell>
          <cell r="H1306" t="str">
            <v>Income</v>
          </cell>
          <cell r="I1306" t="str">
            <v>Profit and Loss</v>
          </cell>
          <cell r="J1306" t="str">
            <v>XAF</v>
          </cell>
        </row>
        <row r="1307">
          <cell r="A1307" t="str">
            <v>A1306</v>
          </cell>
          <cell r="B1307" t="str">
            <v>"791000 - Reprises de provisions et dépréciations d’exploitation - OHADA"</v>
          </cell>
          <cell r="C1307" t="str">
            <v>Reprises de provisions et dépréciations d’exploitation</v>
          </cell>
          <cell r="D1307" t="str">
            <v>OHADA</v>
          </cell>
          <cell r="E1307" t="str">
            <v>790000 - Reprises de provisions, de dépréciations et autres - OHADA</v>
          </cell>
          <cell r="F1307">
            <v>791000</v>
          </cell>
          <cell r="G1307" t="str">
            <v>1</v>
          </cell>
          <cell r="H1307" t="str">
            <v>Income</v>
          </cell>
          <cell r="I1307" t="str">
            <v>Profit and Loss</v>
          </cell>
          <cell r="J1307" t="str">
            <v>XAF</v>
          </cell>
          <cell r="K1307" t="str">
            <v>Reprise d’amortissements, provisions et dépréciations</v>
          </cell>
        </row>
        <row r="1308">
          <cell r="A1308" t="str">
            <v>A1307</v>
          </cell>
          <cell r="B1308" t="str">
            <v>"791100 - Pour risques et charges - OHADA"</v>
          </cell>
          <cell r="C1308" t="str">
            <v>Pour risques et charges</v>
          </cell>
          <cell r="D1308" t="str">
            <v>OHADA</v>
          </cell>
          <cell r="E1308" t="str">
            <v>791000 - Reprises de provisions et dépréciations d’exploitation - OHADA</v>
          </cell>
          <cell r="F1308">
            <v>791100</v>
          </cell>
          <cell r="G1308" t="str">
            <v>0</v>
          </cell>
          <cell r="H1308" t="str">
            <v>Income</v>
          </cell>
          <cell r="I1308" t="str">
            <v>Profit and Loss</v>
          </cell>
          <cell r="J1308" t="str">
            <v>XAF</v>
          </cell>
          <cell r="K1308" t="str">
            <v>Reprise d’amortissements, provisions et dépréciations</v>
          </cell>
        </row>
        <row r="1309">
          <cell r="A1309" t="str">
            <v>A1308</v>
          </cell>
          <cell r="B1309" t="str">
            <v>"791300 - Des immobilisations incorporelles - OHADA"</v>
          </cell>
          <cell r="C1309" t="str">
            <v>Des immobilisations incorporelles</v>
          </cell>
          <cell r="D1309" t="str">
            <v>OHADA</v>
          </cell>
          <cell r="E1309" t="str">
            <v>791000 - Reprises de provisions et dépréciations d’exploitation - OHADA</v>
          </cell>
          <cell r="F1309">
            <v>791300</v>
          </cell>
          <cell r="G1309" t="str">
            <v>0</v>
          </cell>
          <cell r="H1309" t="str">
            <v>Income</v>
          </cell>
          <cell r="I1309" t="str">
            <v>Profit and Loss</v>
          </cell>
          <cell r="J1309" t="str">
            <v>XAF</v>
          </cell>
          <cell r="K1309" t="str">
            <v>Reprise d’amortissements, provisions et dépréciations</v>
          </cell>
        </row>
        <row r="1310">
          <cell r="A1310" t="str">
            <v>A1309</v>
          </cell>
          <cell r="B1310" t="str">
            <v>"791400 - Des immobilisations corporelles - OHADA"</v>
          </cell>
          <cell r="C1310" t="str">
            <v>Des immobilisations corporelles</v>
          </cell>
          <cell r="D1310" t="str">
            <v>OHADA</v>
          </cell>
          <cell r="E1310" t="str">
            <v>791000 - Reprises de provisions et dépréciations d’exploitation - OHADA</v>
          </cell>
          <cell r="F1310">
            <v>791400</v>
          </cell>
          <cell r="G1310" t="str">
            <v>0</v>
          </cell>
          <cell r="H1310" t="str">
            <v>Income</v>
          </cell>
          <cell r="I1310" t="str">
            <v>Profit and Loss</v>
          </cell>
          <cell r="J1310" t="str">
            <v>XAF</v>
          </cell>
          <cell r="K1310" t="str">
            <v>Reprise d’amortissements, provisions et dépréciations</v>
          </cell>
        </row>
        <row r="1311">
          <cell r="A1311" t="str">
            <v>A1310</v>
          </cell>
          <cell r="B1311" t="str">
            <v>"797000 - Reprises de provisions et dépréciations financières - OHADA"</v>
          </cell>
          <cell r="C1311" t="str">
            <v>Reprises de provisions et dépréciations financières</v>
          </cell>
          <cell r="D1311" t="str">
            <v>OHADA</v>
          </cell>
          <cell r="E1311" t="str">
            <v>790000 - Reprises de provisions, de dépréciations et autres - OHADA</v>
          </cell>
          <cell r="F1311">
            <v>797000</v>
          </cell>
          <cell r="G1311" t="str">
            <v>1</v>
          </cell>
          <cell r="H1311" t="str">
            <v>Income</v>
          </cell>
          <cell r="I1311" t="str">
            <v>Profit and Loss</v>
          </cell>
          <cell r="J1311" t="str">
            <v>XAF</v>
          </cell>
          <cell r="K1311" t="str">
            <v>Reprises de provisions et dépréciations financières</v>
          </cell>
        </row>
        <row r="1312">
          <cell r="A1312" t="str">
            <v>A1311</v>
          </cell>
          <cell r="B1312" t="str">
            <v>"797100 - Pour risques et charges - OHADA"</v>
          </cell>
          <cell r="C1312" t="str">
            <v>Pour risques et charges</v>
          </cell>
          <cell r="D1312" t="str">
            <v>OHADA</v>
          </cell>
          <cell r="E1312" t="str">
            <v>797000 - Reprises de provisions et dépréciations financières - OHADA</v>
          </cell>
          <cell r="F1312">
            <v>797100</v>
          </cell>
          <cell r="G1312" t="str">
            <v>0</v>
          </cell>
          <cell r="H1312" t="str">
            <v>Income</v>
          </cell>
          <cell r="I1312" t="str">
            <v>Profit and Loss</v>
          </cell>
          <cell r="J1312" t="str">
            <v>XAF</v>
          </cell>
          <cell r="K1312" t="str">
            <v>Reprises de provisions et dépréciations financières</v>
          </cell>
        </row>
        <row r="1313">
          <cell r="A1313" t="str">
            <v>A1312</v>
          </cell>
          <cell r="B1313" t="str">
            <v>"797200 - Des immobilisations financières - OHADA"</v>
          </cell>
          <cell r="C1313" t="str">
            <v>Des immobilisations financières</v>
          </cell>
          <cell r="D1313" t="str">
            <v>OHADA</v>
          </cell>
          <cell r="E1313" t="str">
            <v>797000 - Reprises de provisions et dépréciations financières - OHADA</v>
          </cell>
          <cell r="F1313">
            <v>797200</v>
          </cell>
          <cell r="G1313" t="str">
            <v>0</v>
          </cell>
          <cell r="H1313" t="str">
            <v>Income</v>
          </cell>
          <cell r="I1313" t="str">
            <v>Profit and Loss</v>
          </cell>
          <cell r="J1313" t="str">
            <v>XAF</v>
          </cell>
          <cell r="K1313" t="str">
            <v>Reprises de provisions et dépréciations financières</v>
          </cell>
        </row>
        <row r="1314">
          <cell r="A1314" t="str">
            <v>A1313</v>
          </cell>
          <cell r="B1314" t="str">
            <v>"798000 - Reprises d’amortissements - OHADA"</v>
          </cell>
          <cell r="C1314" t="str">
            <v>Reprises d’amortissements</v>
          </cell>
          <cell r="D1314" t="str">
            <v>OHADA</v>
          </cell>
          <cell r="E1314" t="str">
            <v>790000 - Reprises de provisions, de dépréciations et autres - OHADA</v>
          </cell>
          <cell r="F1314">
            <v>798000</v>
          </cell>
          <cell r="G1314" t="str">
            <v>0</v>
          </cell>
          <cell r="H1314" t="str">
            <v>Income</v>
          </cell>
          <cell r="I1314" t="str">
            <v>Profit and Loss</v>
          </cell>
          <cell r="J1314" t="str">
            <v>XAF</v>
          </cell>
          <cell r="K1314" t="str">
            <v>Reprise d’amortissements, provisions et dépréciations</v>
          </cell>
        </row>
        <row r="1315">
          <cell r="A1315" t="str">
            <v>A1314</v>
          </cell>
          <cell r="B1315" t="str">
            <v>"799000 - Reprises de subventions d’investissement - OHADA"</v>
          </cell>
          <cell r="C1315" t="str">
            <v>Reprises de subventions d’investissement</v>
          </cell>
          <cell r="D1315" t="str">
            <v>OHADA</v>
          </cell>
          <cell r="E1315" t="str">
            <v>790000 - Reprises de provisions, de dépréciations et autres - OHADA</v>
          </cell>
          <cell r="F1315">
            <v>799000</v>
          </cell>
          <cell r="G1315" t="str">
            <v>0</v>
          </cell>
          <cell r="H1315" t="str">
            <v>Income</v>
          </cell>
          <cell r="I1315" t="str">
            <v>Profit and Loss</v>
          </cell>
          <cell r="J1315" t="str">
            <v>XAF</v>
          </cell>
          <cell r="K1315" t="str">
            <v>Reprise d’amortissements, provisions et dépréciations</v>
          </cell>
        </row>
        <row r="1316">
          <cell r="A1316" t="str">
            <v>A1315</v>
          </cell>
          <cell r="B1316" t="str">
            <v>8 - Comptes des autres charges et des autres produits (CHARGES)  -  OHADA</v>
          </cell>
          <cell r="C1316" t="str">
            <v>8-Comptes des autres charges et des autres produits (CHARGES)</v>
          </cell>
          <cell r="D1316" t="str">
            <v>OHADA</v>
          </cell>
          <cell r="G1316" t="str">
            <v>1</v>
          </cell>
          <cell r="H1316" t="str">
            <v>Expense</v>
          </cell>
          <cell r="I1316" t="str">
            <v>Profit and Loss</v>
          </cell>
          <cell r="J1316" t="str">
            <v>XAF</v>
          </cell>
        </row>
        <row r="1317">
          <cell r="A1317" t="str">
            <v>A1316</v>
          </cell>
          <cell r="B1317" t="str">
            <v>"810000 - Valeurs comptables des cessions d’immobilisations - OHADA"</v>
          </cell>
          <cell r="C1317" t="str">
            <v>Valeurs comptables des cessions d’immobilisations</v>
          </cell>
          <cell r="D1317" t="str">
            <v>OHADA</v>
          </cell>
          <cell r="E1317" t="str">
            <v>8-Comptes des autres charges et des autres produits (CHARGES) - OHADA</v>
          </cell>
          <cell r="F1317">
            <v>810000</v>
          </cell>
          <cell r="G1317" t="str">
            <v>1</v>
          </cell>
          <cell r="H1317" t="str">
            <v>Expense</v>
          </cell>
          <cell r="I1317" t="str">
            <v>Profit and Loss</v>
          </cell>
          <cell r="J1317" t="str">
            <v>XAF</v>
          </cell>
          <cell r="K1317" t="str">
            <v>VNC d'immobilisations</v>
          </cell>
        </row>
        <row r="1318">
          <cell r="A1318" t="str">
            <v>A1317</v>
          </cell>
          <cell r="B1318" t="str">
            <v>"811000 - Immobilisations incorporelles - OHADA"</v>
          </cell>
          <cell r="C1318" t="str">
            <v>Immobilisations incorporelles</v>
          </cell>
          <cell r="D1318" t="str">
            <v>OHADA</v>
          </cell>
          <cell r="E1318" t="str">
            <v>810000 - Valeurs comptables des cessions d’immobilisations - OHADA</v>
          </cell>
          <cell r="F1318">
            <v>811000</v>
          </cell>
          <cell r="G1318" t="str">
            <v>0</v>
          </cell>
          <cell r="H1318" t="str">
            <v>Expense</v>
          </cell>
          <cell r="I1318" t="str">
            <v>Profit and Loss</v>
          </cell>
          <cell r="J1318" t="str">
            <v>XAF</v>
          </cell>
          <cell r="K1318" t="str">
            <v>VNC d'immobilisations</v>
          </cell>
        </row>
        <row r="1319">
          <cell r="A1319" t="str">
            <v>A1318</v>
          </cell>
          <cell r="B1319" t="str">
            <v>"812000 - Immobilisations corporelles - OHADA"</v>
          </cell>
          <cell r="C1319" t="str">
            <v>Immobilisations corporelles</v>
          </cell>
          <cell r="D1319" t="str">
            <v>OHADA</v>
          </cell>
          <cell r="E1319" t="str">
            <v>810000 - Valeurs comptables des cessions d’immobilisations - OHADA</v>
          </cell>
          <cell r="F1319">
            <v>812000</v>
          </cell>
          <cell r="G1319" t="str">
            <v>0</v>
          </cell>
          <cell r="H1319" t="str">
            <v>Expense</v>
          </cell>
          <cell r="I1319" t="str">
            <v>Profit and Loss</v>
          </cell>
          <cell r="J1319" t="str">
            <v>XAF</v>
          </cell>
          <cell r="K1319" t="str">
            <v>VNC d'immobilisations</v>
          </cell>
        </row>
        <row r="1320">
          <cell r="A1320" t="str">
            <v>A1319</v>
          </cell>
          <cell r="B1320" t="str">
            <v>"816000 - Immobilisations financières - OHADA"</v>
          </cell>
          <cell r="C1320" t="str">
            <v>Immobilisations financières</v>
          </cell>
          <cell r="D1320" t="str">
            <v>OHADA</v>
          </cell>
          <cell r="E1320" t="str">
            <v>810000 - Valeurs comptables des cessions d’immobilisations - OHADA</v>
          </cell>
          <cell r="F1320">
            <v>816000</v>
          </cell>
          <cell r="G1320" t="str">
            <v>0</v>
          </cell>
          <cell r="H1320" t="str">
            <v>Expense</v>
          </cell>
          <cell r="I1320" t="str">
            <v>Profit and Loss</v>
          </cell>
          <cell r="J1320" t="str">
            <v>XAF</v>
          </cell>
          <cell r="K1320" t="str">
            <v>VNC d'immobilisations</v>
          </cell>
        </row>
        <row r="1321">
          <cell r="A1321" t="str">
            <v>A1320</v>
          </cell>
          <cell r="B1321" t="str">
            <v>"830000 - Charges hors activités ordinaires - OHADA"</v>
          </cell>
          <cell r="C1321" t="str">
            <v>Charges hors activités ordinaires</v>
          </cell>
          <cell r="D1321" t="str">
            <v>OHADA</v>
          </cell>
          <cell r="E1321" t="str">
            <v>8-Comptes des autres charges et des autres produits (CHARGES) - OHADA</v>
          </cell>
          <cell r="F1321">
            <v>830000</v>
          </cell>
          <cell r="G1321" t="str">
            <v>1</v>
          </cell>
          <cell r="H1321" t="str">
            <v>Expense</v>
          </cell>
          <cell r="I1321" t="str">
            <v>Profit and Loss</v>
          </cell>
          <cell r="J1321" t="str">
            <v>XAF</v>
          </cell>
          <cell r="K1321" t="str">
            <v>Autres charges H.A.O</v>
          </cell>
        </row>
        <row r="1322">
          <cell r="A1322" t="str">
            <v>A1321</v>
          </cell>
          <cell r="B1322" t="str">
            <v>"831000 - Charges HAO constatées - OHADA"</v>
          </cell>
          <cell r="C1322" t="str">
            <v>Charges HAO constatées</v>
          </cell>
          <cell r="D1322" t="str">
            <v>OHADA</v>
          </cell>
          <cell r="E1322" t="str">
            <v>830000 - Charges hors activités ordinaires - OHADA</v>
          </cell>
          <cell r="F1322">
            <v>831000</v>
          </cell>
          <cell r="G1322" t="str">
            <v>0</v>
          </cell>
          <cell r="H1322" t="str">
            <v>Expense</v>
          </cell>
          <cell r="I1322" t="str">
            <v>Profit and Loss</v>
          </cell>
          <cell r="J1322" t="str">
            <v>XAF</v>
          </cell>
          <cell r="K1322" t="str">
            <v>Autres charges H.A.O</v>
          </cell>
        </row>
        <row r="1323">
          <cell r="A1323" t="str">
            <v>A1322</v>
          </cell>
          <cell r="B1323" t="str">
            <v>"833000 - Charges liées aux opérations de restructuration - OHADA"</v>
          </cell>
          <cell r="C1323" t="str">
            <v>Charges liées aux opérations de restructuration</v>
          </cell>
          <cell r="D1323" t="str">
            <v>OHADA</v>
          </cell>
          <cell r="E1323" t="str">
            <v>830000 - Charges hors activités ordinaires - OHADA</v>
          </cell>
          <cell r="F1323">
            <v>833000</v>
          </cell>
          <cell r="G1323" t="str">
            <v>0</v>
          </cell>
          <cell r="H1323" t="str">
            <v>Expense</v>
          </cell>
          <cell r="I1323" t="str">
            <v>Profit and Loss</v>
          </cell>
          <cell r="J1323" t="str">
            <v>XAF</v>
          </cell>
          <cell r="K1323" t="str">
            <v>Autres charges H.A.O</v>
          </cell>
        </row>
        <row r="1324">
          <cell r="A1324" t="str">
            <v>A1323</v>
          </cell>
          <cell r="B1324" t="str">
            <v>"834000 - Pertes sur créances HAO - OHADA"</v>
          </cell>
          <cell r="C1324" t="str">
            <v>Pertes sur créances HAO</v>
          </cell>
          <cell r="D1324" t="str">
            <v>OHADA</v>
          </cell>
          <cell r="E1324" t="str">
            <v>830000 - Charges hors activités ordinaires - OHADA</v>
          </cell>
          <cell r="F1324">
            <v>834000</v>
          </cell>
          <cell r="G1324" t="str">
            <v>0</v>
          </cell>
          <cell r="H1324" t="str">
            <v>Expense</v>
          </cell>
          <cell r="I1324" t="str">
            <v>Profit and Loss</v>
          </cell>
          <cell r="J1324" t="str">
            <v>XAF</v>
          </cell>
          <cell r="K1324" t="str">
            <v>Autres charges H.A.O</v>
          </cell>
        </row>
        <row r="1325">
          <cell r="A1325" t="str">
            <v>A1324</v>
          </cell>
          <cell r="B1325" t="str">
            <v>"835000 - Dons et libéralités accordés - OHADA"</v>
          </cell>
          <cell r="C1325" t="str">
            <v>Dons et libéralités accordés</v>
          </cell>
          <cell r="D1325" t="str">
            <v>OHADA</v>
          </cell>
          <cell r="E1325" t="str">
            <v>830000 - Charges hors activités ordinaires - OHADA</v>
          </cell>
          <cell r="F1325">
            <v>835000</v>
          </cell>
          <cell r="G1325" t="str">
            <v>0</v>
          </cell>
          <cell r="H1325" t="str">
            <v>Expense</v>
          </cell>
          <cell r="I1325" t="str">
            <v>Profit and Loss</v>
          </cell>
          <cell r="J1325" t="str">
            <v>XAF</v>
          </cell>
          <cell r="K1325" t="str">
            <v>Autres charges H.A.O</v>
          </cell>
        </row>
        <row r="1326">
          <cell r="A1326" t="str">
            <v>A1325</v>
          </cell>
          <cell r="B1326" t="str">
            <v>"836000 - Abandons de créances consentis - OHADA"</v>
          </cell>
          <cell r="C1326" t="str">
            <v>Abandons de créances consentis</v>
          </cell>
          <cell r="D1326" t="str">
            <v>OHADA</v>
          </cell>
          <cell r="E1326" t="str">
            <v>830000 - Charges hors activités ordinaires - OHADA</v>
          </cell>
          <cell r="F1326">
            <v>836000</v>
          </cell>
          <cell r="G1326" t="str">
            <v>0</v>
          </cell>
          <cell r="H1326" t="str">
            <v>Expense</v>
          </cell>
          <cell r="I1326" t="str">
            <v>Profit and Loss</v>
          </cell>
          <cell r="J1326" t="str">
            <v>XAF</v>
          </cell>
          <cell r="K1326" t="str">
            <v>Autres charges H.A.O</v>
          </cell>
        </row>
        <row r="1327">
          <cell r="A1327" t="str">
            <v>A1326</v>
          </cell>
          <cell r="B1327" t="str">
            <v>"837000 - Charges liées aux opérations de liquidation - OHADA"</v>
          </cell>
          <cell r="C1327" t="str">
            <v>Charges liées aux opérations de liquidation</v>
          </cell>
          <cell r="D1327" t="str">
            <v>OHADA</v>
          </cell>
          <cell r="E1327" t="str">
            <v>830000 - Charges hors activités ordinaires - OHADA</v>
          </cell>
          <cell r="F1327">
            <v>837000</v>
          </cell>
          <cell r="G1327" t="str">
            <v>0</v>
          </cell>
          <cell r="H1327" t="str">
            <v>Expense</v>
          </cell>
          <cell r="I1327" t="str">
            <v>Profit and Loss</v>
          </cell>
          <cell r="J1327" t="str">
            <v>XAF</v>
          </cell>
          <cell r="K1327" t="str">
            <v>Autres charges H.A.O</v>
          </cell>
        </row>
        <row r="1328">
          <cell r="A1328" t="str">
            <v>A1327</v>
          </cell>
          <cell r="B1328" t="str">
            <v>"839000 - Charges pour dépréciations et provisions pour risques à court terme HAO - OHADA"</v>
          </cell>
          <cell r="C1328" t="str">
            <v>Charges pour dépréciations et provisions pour risques à court terme HAO</v>
          </cell>
          <cell r="D1328" t="str">
            <v>OHADA</v>
          </cell>
          <cell r="E1328" t="str">
            <v>830000 - Charges hors activités ordinaires - OHADA</v>
          </cell>
          <cell r="F1328">
            <v>839000</v>
          </cell>
          <cell r="G1328" t="str">
            <v>0</v>
          </cell>
          <cell r="H1328" t="str">
            <v>Expense</v>
          </cell>
          <cell r="I1328" t="str">
            <v>Profit and Loss</v>
          </cell>
          <cell r="J1328" t="str">
            <v>XAF</v>
          </cell>
          <cell r="K1328" t="str">
            <v>Autres charges H.A.O</v>
          </cell>
        </row>
        <row r="1329">
          <cell r="A1329" t="str">
            <v>A1328</v>
          </cell>
          <cell r="B1329" t="str">
            <v>"850000 - Dotations hors activités ordinaires - OHADA"</v>
          </cell>
          <cell r="C1329" t="str">
            <v>Dotations hors activités ordinaires</v>
          </cell>
          <cell r="D1329" t="str">
            <v>OHADA</v>
          </cell>
          <cell r="E1329" t="str">
            <v>8-Comptes des autres charges et des autres produits (CHARGES) - OHADA</v>
          </cell>
          <cell r="F1329">
            <v>850000</v>
          </cell>
          <cell r="G1329" t="str">
            <v>1</v>
          </cell>
          <cell r="H1329" t="str">
            <v>Expense</v>
          </cell>
          <cell r="I1329" t="str">
            <v>Profit and Loss</v>
          </cell>
          <cell r="J1329" t="str">
            <v>XAF</v>
          </cell>
          <cell r="K1329" t="str">
            <v>Autres charges H.A.O</v>
          </cell>
        </row>
        <row r="1330">
          <cell r="A1330" t="str">
            <v>A1329</v>
          </cell>
          <cell r="B1330" t="str">
            <v>"851000 - Dotations aux provisions réglementées - OHADA"</v>
          </cell>
          <cell r="C1330" t="str">
            <v>Dotations aux provisions réglementées</v>
          </cell>
          <cell r="D1330" t="str">
            <v>OHADA</v>
          </cell>
          <cell r="E1330" t="str">
            <v>850000 - Dotations hors activités ordinaires - OHADA</v>
          </cell>
          <cell r="F1330">
            <v>851000</v>
          </cell>
          <cell r="G1330" t="str">
            <v>0</v>
          </cell>
          <cell r="H1330" t="str">
            <v>Expense</v>
          </cell>
          <cell r="I1330" t="str">
            <v>Profit and Loss</v>
          </cell>
          <cell r="J1330" t="str">
            <v>XAF</v>
          </cell>
          <cell r="K1330" t="str">
            <v>Autres charges H.A.O</v>
          </cell>
        </row>
        <row r="1331">
          <cell r="A1331" t="str">
            <v>A1330</v>
          </cell>
          <cell r="B1331" t="str">
            <v>"852000 - Dotations aux amortissements HAO - OHADA"</v>
          </cell>
          <cell r="C1331" t="str">
            <v>Dotations aux amortissements HAO</v>
          </cell>
          <cell r="D1331" t="str">
            <v>OHADA</v>
          </cell>
          <cell r="E1331" t="str">
            <v>850000 - Dotations hors activités ordinaires - OHADA</v>
          </cell>
          <cell r="F1331">
            <v>852000</v>
          </cell>
          <cell r="G1331" t="str">
            <v>0</v>
          </cell>
          <cell r="H1331" t="str">
            <v>Expense</v>
          </cell>
          <cell r="I1331" t="str">
            <v>Profit and Loss</v>
          </cell>
          <cell r="J1331" t="str">
            <v>XAF</v>
          </cell>
          <cell r="K1331" t="str">
            <v>Autres charges H.A.O</v>
          </cell>
        </row>
        <row r="1332">
          <cell r="A1332" t="str">
            <v>A1331</v>
          </cell>
          <cell r="B1332" t="str">
            <v>"853000 - Dotations aux dépréciations HAO - OHADA"</v>
          </cell>
          <cell r="C1332" t="str">
            <v>Dotations aux dépréciations HAO</v>
          </cell>
          <cell r="D1332" t="str">
            <v>OHADA</v>
          </cell>
          <cell r="E1332" t="str">
            <v>850000 - Dotations hors activités ordinaires - OHADA</v>
          </cell>
          <cell r="F1332">
            <v>853000</v>
          </cell>
          <cell r="G1332" t="str">
            <v>0</v>
          </cell>
          <cell r="H1332" t="str">
            <v>Expense</v>
          </cell>
          <cell r="I1332" t="str">
            <v>Profit and Loss</v>
          </cell>
          <cell r="J1332" t="str">
            <v>XAF</v>
          </cell>
          <cell r="K1332" t="str">
            <v>Autres charges H.A.O</v>
          </cell>
        </row>
        <row r="1333">
          <cell r="A1333" t="str">
            <v>A1332</v>
          </cell>
          <cell r="B1333" t="str">
            <v>"854000 - Dotations aux provisions pour risques et charges HAO - OHADA"</v>
          </cell>
          <cell r="C1333" t="str">
            <v>Dotations aux provisions pour risques et charges HAO</v>
          </cell>
          <cell r="D1333" t="str">
            <v>OHADA</v>
          </cell>
          <cell r="E1333" t="str">
            <v>850000 - Dotations hors activités ordinaires - OHADA</v>
          </cell>
          <cell r="F1333">
            <v>854000</v>
          </cell>
          <cell r="G1333" t="str">
            <v>0</v>
          </cell>
          <cell r="H1333" t="str">
            <v>Expense</v>
          </cell>
          <cell r="I1333" t="str">
            <v>Profit and Loss</v>
          </cell>
          <cell r="J1333" t="str">
            <v>XAF</v>
          </cell>
          <cell r="K1333" t="str">
            <v>Autres charges H.A.O</v>
          </cell>
        </row>
        <row r="1334">
          <cell r="A1334" t="str">
            <v>A1333</v>
          </cell>
          <cell r="B1334" t="str">
            <v>"858000 - Autres dotations HAO - OHADA"</v>
          </cell>
          <cell r="C1334" t="str">
            <v>Autres dotations HAO</v>
          </cell>
          <cell r="D1334" t="str">
            <v>OHADA</v>
          </cell>
          <cell r="E1334" t="str">
            <v>850000 - Dotations hors activités ordinaires - OHADA</v>
          </cell>
          <cell r="F1334">
            <v>858000</v>
          </cell>
          <cell r="G1334" t="str">
            <v>0</v>
          </cell>
          <cell r="H1334" t="str">
            <v>Expense</v>
          </cell>
          <cell r="I1334" t="str">
            <v>Profit and Loss</v>
          </cell>
          <cell r="J1334" t="str">
            <v>XAF</v>
          </cell>
          <cell r="K1334" t="str">
            <v>Autres charges H.A.O</v>
          </cell>
        </row>
        <row r="1335">
          <cell r="A1335" t="str">
            <v>A1334</v>
          </cell>
          <cell r="B1335" t="str">
            <v>"870000 - Participation des travailleurs - OHADA"</v>
          </cell>
          <cell r="C1335" t="str">
            <v>Participation des travailleurs</v>
          </cell>
          <cell r="D1335" t="str">
            <v>OHADA</v>
          </cell>
          <cell r="E1335" t="str">
            <v>8-Comptes des autres charges et des autres produits (CHARGES) - OHADA</v>
          </cell>
          <cell r="F1335">
            <v>870000</v>
          </cell>
          <cell r="G1335" t="str">
            <v>1</v>
          </cell>
          <cell r="H1335" t="str">
            <v>Expense</v>
          </cell>
          <cell r="I1335" t="str">
            <v>Profit and Loss</v>
          </cell>
          <cell r="J1335" t="str">
            <v>XAF</v>
          </cell>
          <cell r="K1335" t="str">
            <v>Participations des travailleurs</v>
          </cell>
        </row>
        <row r="1336">
          <cell r="A1336" t="str">
            <v>A1335</v>
          </cell>
          <cell r="B1336" t="str">
            <v>"871000 - Participation légale aux bénéfices - OHADA"</v>
          </cell>
          <cell r="C1336" t="str">
            <v>Participation légale aux bénéfices</v>
          </cell>
          <cell r="D1336" t="str">
            <v>OHADA</v>
          </cell>
          <cell r="E1336" t="str">
            <v>870000 - Participation des travailleurs - OHADA</v>
          </cell>
          <cell r="F1336">
            <v>871000</v>
          </cell>
          <cell r="G1336" t="str">
            <v>0</v>
          </cell>
          <cell r="H1336" t="str">
            <v>Expense</v>
          </cell>
          <cell r="I1336" t="str">
            <v>Profit and Loss</v>
          </cell>
          <cell r="J1336" t="str">
            <v>XAF</v>
          </cell>
          <cell r="K1336" t="str">
            <v>Participations des travailleurs</v>
          </cell>
        </row>
        <row r="1337">
          <cell r="A1337" t="str">
            <v>A1336</v>
          </cell>
          <cell r="B1337" t="str">
            <v>"874000 - Participation contractuelle aux bénéfices - OHADA"</v>
          </cell>
          <cell r="C1337" t="str">
            <v>Participation contractuelle aux bénéfices</v>
          </cell>
          <cell r="D1337" t="str">
            <v>OHADA</v>
          </cell>
          <cell r="E1337" t="str">
            <v>870000 - Participation des travailleurs - OHADA</v>
          </cell>
          <cell r="F1337">
            <v>874000</v>
          </cell>
          <cell r="G1337" t="str">
            <v>0</v>
          </cell>
          <cell r="H1337" t="str">
            <v>Expense</v>
          </cell>
          <cell r="I1337" t="str">
            <v>Profit and Loss</v>
          </cell>
          <cell r="J1337" t="str">
            <v>XAF</v>
          </cell>
          <cell r="K1337" t="str">
            <v>Participations des travailleurs</v>
          </cell>
        </row>
        <row r="1338">
          <cell r="A1338" t="str">
            <v>A1337</v>
          </cell>
          <cell r="B1338" t="str">
            <v>"878000 - Autres participations - OHADA"</v>
          </cell>
          <cell r="C1338" t="str">
            <v>Autres participations</v>
          </cell>
          <cell r="D1338" t="str">
            <v>OHADA</v>
          </cell>
          <cell r="E1338" t="str">
            <v>870000 - Participation des travailleurs - OHADA</v>
          </cell>
          <cell r="F1338">
            <v>878000</v>
          </cell>
          <cell r="G1338" t="str">
            <v>0</v>
          </cell>
          <cell r="H1338" t="str">
            <v>Expense</v>
          </cell>
          <cell r="I1338" t="str">
            <v>Profit and Loss</v>
          </cell>
          <cell r="J1338" t="str">
            <v>XAF</v>
          </cell>
          <cell r="K1338" t="str">
            <v>Participations des travailleurs</v>
          </cell>
        </row>
        <row r="1339">
          <cell r="A1339" t="str">
            <v>A1338</v>
          </cell>
          <cell r="B1339" t="str">
            <v>"890000 - Impôts sur le résultat - OHADA"</v>
          </cell>
          <cell r="C1339" t="str">
            <v>Impôts sur le résultat</v>
          </cell>
          <cell r="D1339" t="str">
            <v>OHADA</v>
          </cell>
          <cell r="E1339" t="str">
            <v>8-Comptes des autres charges et des autres produits (CHARGES) - OHADA</v>
          </cell>
          <cell r="F1339">
            <v>890000</v>
          </cell>
          <cell r="G1339" t="str">
            <v>1</v>
          </cell>
          <cell r="H1339" t="str">
            <v>Expense</v>
          </cell>
          <cell r="I1339" t="str">
            <v>Profit and Loss</v>
          </cell>
          <cell r="J1339" t="str">
            <v>XAF</v>
          </cell>
          <cell r="K1339" t="str">
            <v>Impôts sur le résultat</v>
          </cell>
        </row>
        <row r="1340">
          <cell r="A1340" t="str">
            <v>A1339</v>
          </cell>
          <cell r="B1340" t="str">
            <v>"891000 - Impôts sur les bénéfices de l’exercice - OHADA"</v>
          </cell>
          <cell r="C1340" t="str">
            <v>Impôts sur les bénéfices de l’exercice</v>
          </cell>
          <cell r="D1340" t="str">
            <v>OHADA</v>
          </cell>
          <cell r="E1340" t="str">
            <v>890000 - Impôts sur le résultat - OHADA</v>
          </cell>
          <cell r="F1340">
            <v>891000</v>
          </cell>
          <cell r="G1340" t="str">
            <v>1</v>
          </cell>
          <cell r="H1340" t="str">
            <v>Expense</v>
          </cell>
          <cell r="I1340" t="str">
            <v>Profit and Loss</v>
          </cell>
          <cell r="J1340" t="str">
            <v>XAF</v>
          </cell>
          <cell r="K1340" t="str">
            <v>Impôts sur le résultat</v>
          </cell>
        </row>
        <row r="1341">
          <cell r="A1341" t="str">
            <v>A1340</v>
          </cell>
          <cell r="B1341" t="str">
            <v>"891100 - Activités exercées dans l’État - OHADA"</v>
          </cell>
          <cell r="C1341" t="str">
            <v>Activités exercées dans l’État</v>
          </cell>
          <cell r="D1341" t="str">
            <v>OHADA</v>
          </cell>
          <cell r="E1341" t="str">
            <v>891000 - Impôts sur les bénéfices de l’exercice - OHADA</v>
          </cell>
          <cell r="F1341">
            <v>891100</v>
          </cell>
          <cell r="G1341" t="str">
            <v>0</v>
          </cell>
          <cell r="H1341" t="str">
            <v>Expense</v>
          </cell>
          <cell r="I1341" t="str">
            <v>Profit and Loss</v>
          </cell>
          <cell r="J1341" t="str">
            <v>XAF</v>
          </cell>
          <cell r="K1341" t="str">
            <v>Impôts sur le résultat</v>
          </cell>
        </row>
        <row r="1342">
          <cell r="A1342" t="str">
            <v>A1341</v>
          </cell>
          <cell r="B1342" t="str">
            <v>"891200 - Activités exercées dans les autres États de la Région - OHADA"</v>
          </cell>
          <cell r="C1342" t="str">
            <v>Activités exercées dans les autres États de la Région</v>
          </cell>
          <cell r="D1342" t="str">
            <v>OHADA</v>
          </cell>
          <cell r="E1342" t="str">
            <v>891000 - Impôts sur les bénéfices de l’exercice - OHADA</v>
          </cell>
          <cell r="F1342">
            <v>891200</v>
          </cell>
          <cell r="G1342" t="str">
            <v>0</v>
          </cell>
          <cell r="H1342" t="str">
            <v>Expense</v>
          </cell>
          <cell r="I1342" t="str">
            <v>Profit and Loss</v>
          </cell>
          <cell r="J1342" t="str">
            <v>XAF</v>
          </cell>
          <cell r="K1342" t="str">
            <v>Impôts sur le résultat</v>
          </cell>
        </row>
        <row r="1343">
          <cell r="A1343" t="str">
            <v>A1342</v>
          </cell>
          <cell r="B1343" t="str">
            <v>"891300 - Activités exercées hors Région - OHADA"</v>
          </cell>
          <cell r="C1343" t="str">
            <v>Activités exercées hors Région</v>
          </cell>
          <cell r="D1343" t="str">
            <v>OHADA</v>
          </cell>
          <cell r="E1343" t="str">
            <v>891000 - Impôts sur les bénéfices de l’exercice - OHADA</v>
          </cell>
          <cell r="F1343">
            <v>891300</v>
          </cell>
          <cell r="G1343" t="str">
            <v>0</v>
          </cell>
          <cell r="H1343" t="str">
            <v>Expense</v>
          </cell>
          <cell r="I1343" t="str">
            <v>Profit and Loss</v>
          </cell>
          <cell r="J1343" t="str">
            <v>XAF</v>
          </cell>
          <cell r="K1343" t="str">
            <v>Impôts sur le résultat</v>
          </cell>
        </row>
        <row r="1344">
          <cell r="A1344" t="str">
            <v>A1343</v>
          </cell>
          <cell r="B1344" t="str">
            <v>"892000 - Rappel d’impôts sur résultats antérieurs - OHADA"</v>
          </cell>
          <cell r="C1344" t="str">
            <v>Rappel d’impôts sur résultats antérieurs</v>
          </cell>
          <cell r="D1344" t="str">
            <v>OHADA</v>
          </cell>
          <cell r="E1344" t="str">
            <v>890000 - Impôts sur le résultat - OHADA</v>
          </cell>
          <cell r="F1344">
            <v>892000</v>
          </cell>
          <cell r="G1344" t="str">
            <v>0</v>
          </cell>
          <cell r="H1344" t="str">
            <v>Expense</v>
          </cell>
          <cell r="I1344" t="str">
            <v>Profit and Loss</v>
          </cell>
          <cell r="J1344" t="str">
            <v>XAF</v>
          </cell>
          <cell r="K1344" t="str">
            <v>Impôts sur le résultat</v>
          </cell>
        </row>
        <row r="1345">
          <cell r="A1345" t="str">
            <v>A1344</v>
          </cell>
          <cell r="B1345" t="str">
            <v>"895000 - Impôt minimum forfaitaire IMF - OHADA"</v>
          </cell>
          <cell r="C1345" t="str">
            <v>Impôt minimum forfaitaire IMF</v>
          </cell>
          <cell r="D1345" t="str">
            <v>OHADA</v>
          </cell>
          <cell r="E1345" t="str">
            <v>890000 - Impôts sur le résultat - OHADA</v>
          </cell>
          <cell r="F1345">
            <v>895000</v>
          </cell>
          <cell r="G1345" t="str">
            <v>0</v>
          </cell>
          <cell r="H1345" t="str">
            <v>Expense</v>
          </cell>
          <cell r="I1345" t="str">
            <v>Profit and Loss</v>
          </cell>
          <cell r="J1345" t="str">
            <v>XAF</v>
          </cell>
          <cell r="K1345" t="str">
            <v>Impôts sur le résultat</v>
          </cell>
        </row>
        <row r="1346">
          <cell r="A1346" t="str">
            <v>A1345</v>
          </cell>
          <cell r="B1346" t="str">
            <v>"899000 - Dégrèvements et annulations d’impôts sur résultats antérieurs - OHADA"</v>
          </cell>
          <cell r="C1346" t="str">
            <v>Dégrèvements et annulations d’impôts sur résultats antérieurs</v>
          </cell>
          <cell r="D1346" t="str">
            <v>OHADA</v>
          </cell>
          <cell r="E1346" t="str">
            <v>890000 - Impôts sur le résultat - OHADA</v>
          </cell>
          <cell r="F1346">
            <v>899000</v>
          </cell>
          <cell r="G1346" t="str">
            <v>1</v>
          </cell>
          <cell r="H1346" t="str">
            <v>Expense</v>
          </cell>
          <cell r="I1346" t="str">
            <v>Profit and Loss</v>
          </cell>
          <cell r="J1346" t="str">
            <v>XAF</v>
          </cell>
          <cell r="K1346" t="str">
            <v>Impôts sur le résultat</v>
          </cell>
        </row>
        <row r="1347">
          <cell r="A1347" t="str">
            <v>A1346</v>
          </cell>
          <cell r="B1347" t="str">
            <v>"899100 - Dégrèvements - OHADA"</v>
          </cell>
          <cell r="C1347" t="str">
            <v>Dégrèvements</v>
          </cell>
          <cell r="D1347" t="str">
            <v>OHADA</v>
          </cell>
          <cell r="E1347" t="str">
            <v>899000 - Dégrèvements et annulations d’impôts sur résultats antérieurs - OHADA</v>
          </cell>
          <cell r="F1347">
            <v>899100</v>
          </cell>
          <cell r="G1347" t="str">
            <v>0</v>
          </cell>
          <cell r="H1347" t="str">
            <v>Expense</v>
          </cell>
          <cell r="I1347" t="str">
            <v>Profit and Loss</v>
          </cell>
          <cell r="J1347" t="str">
            <v>XAF</v>
          </cell>
          <cell r="K1347" t="str">
            <v>Impôts sur le résultat</v>
          </cell>
        </row>
        <row r="1348">
          <cell r="A1348" t="str">
            <v>A1347</v>
          </cell>
          <cell r="B1348" t="str">
            <v>"899400 - Annulations pour pertes rétroactives - OHADA"</v>
          </cell>
          <cell r="C1348" t="str">
            <v>Annulations pour pertes rétroactives</v>
          </cell>
          <cell r="D1348" t="str">
            <v>OHADA</v>
          </cell>
          <cell r="E1348" t="str">
            <v>899000 - Dégrèvements et annulations d’impôts sur résultats antérieurs - OHADA</v>
          </cell>
          <cell r="F1348">
            <v>899400</v>
          </cell>
          <cell r="G1348" t="str">
            <v>0</v>
          </cell>
          <cell r="H1348" t="str">
            <v>Expense</v>
          </cell>
          <cell r="I1348" t="str">
            <v>Profit and Loss</v>
          </cell>
          <cell r="J1348" t="str">
            <v>XAF</v>
          </cell>
          <cell r="K1348" t="str">
            <v>Impôts sur le résultat</v>
          </cell>
        </row>
        <row r="1349">
          <cell r="A1349" t="str">
            <v>A1348</v>
          </cell>
          <cell r="B1349" t="str">
            <v>8 - Comptes des autres charges et des autres produits (PRODUITS)  -  OHADA</v>
          </cell>
          <cell r="C1349" t="str">
            <v>8-Comptes des autres charges et des autres produits (PRODUITS)</v>
          </cell>
          <cell r="D1349" t="str">
            <v>OHADA</v>
          </cell>
          <cell r="G1349" t="str">
            <v>1</v>
          </cell>
          <cell r="H1349" t="str">
            <v>Income</v>
          </cell>
          <cell r="I1349" t="str">
            <v>Profit and Loss</v>
          </cell>
          <cell r="J1349" t="str">
            <v>XAF</v>
          </cell>
        </row>
        <row r="1350">
          <cell r="A1350" t="str">
            <v>A1349</v>
          </cell>
          <cell r="B1350" t="str">
            <v>"820000 - Produits des cessions d’immobilisations - OHADA"</v>
          </cell>
          <cell r="C1350" t="str">
            <v>Produits des cessions d’immobilisations</v>
          </cell>
          <cell r="D1350" t="str">
            <v>OHADA</v>
          </cell>
          <cell r="E1350" t="str">
            <v>8-Comptes des autres charges et des autres produits (PRODUITS) - OHADA</v>
          </cell>
          <cell r="F1350">
            <v>820000</v>
          </cell>
          <cell r="G1350" t="str">
            <v>1</v>
          </cell>
          <cell r="H1350" t="str">
            <v>Income</v>
          </cell>
          <cell r="I1350" t="str">
            <v>Profit and Loss</v>
          </cell>
          <cell r="J1350" t="str">
            <v>XAF</v>
          </cell>
          <cell r="K1350" t="str">
            <v>Produits des cessions d'immobilisations</v>
          </cell>
        </row>
        <row r="1351">
          <cell r="A1351" t="str">
            <v>A1350</v>
          </cell>
          <cell r="B1351" t="str">
            <v>"821000 - Immobilisations incorporelles - OHADA"</v>
          </cell>
          <cell r="C1351" t="str">
            <v>Immobilisations incorporelles</v>
          </cell>
          <cell r="D1351" t="str">
            <v>OHADA</v>
          </cell>
          <cell r="E1351" t="str">
            <v>820000 - Produits des cessions d’immobilisations - OHADA</v>
          </cell>
          <cell r="F1351">
            <v>821000</v>
          </cell>
          <cell r="G1351" t="str">
            <v>0</v>
          </cell>
          <cell r="H1351" t="str">
            <v>Income</v>
          </cell>
          <cell r="I1351" t="str">
            <v>Profit and Loss</v>
          </cell>
          <cell r="J1351" t="str">
            <v>XAF</v>
          </cell>
          <cell r="K1351" t="str">
            <v>Produits des cessions d'immobilisations</v>
          </cell>
        </row>
        <row r="1352">
          <cell r="A1352" t="str">
            <v>A1351</v>
          </cell>
          <cell r="B1352" t="str">
            <v>"822000 - Immobilisations corporelles - OHADA"</v>
          </cell>
          <cell r="C1352" t="str">
            <v>Immobilisations corporelles</v>
          </cell>
          <cell r="D1352" t="str">
            <v>OHADA</v>
          </cell>
          <cell r="E1352" t="str">
            <v>820000 - Produits des cessions d’immobilisations - OHADA</v>
          </cell>
          <cell r="F1352">
            <v>822000</v>
          </cell>
          <cell r="G1352" t="str">
            <v>0</v>
          </cell>
          <cell r="H1352" t="str">
            <v>Income</v>
          </cell>
          <cell r="I1352" t="str">
            <v>Profit and Loss</v>
          </cell>
          <cell r="J1352" t="str">
            <v>XAF</v>
          </cell>
          <cell r="K1352" t="str">
            <v>Produits des cessions d'immobilisations</v>
          </cell>
        </row>
        <row r="1353">
          <cell r="A1353" t="str">
            <v>A1352</v>
          </cell>
          <cell r="B1353" t="str">
            <v>"826000 - Immobilisations financières - OHADA"</v>
          </cell>
          <cell r="C1353" t="str">
            <v>Immobilisations financières</v>
          </cell>
          <cell r="D1353" t="str">
            <v>OHADA</v>
          </cell>
          <cell r="E1353" t="str">
            <v>820000 - Produits des cessions d’immobilisations - OHADA</v>
          </cell>
          <cell r="F1353">
            <v>826000</v>
          </cell>
          <cell r="G1353" t="str">
            <v>0</v>
          </cell>
          <cell r="H1353" t="str">
            <v>Income</v>
          </cell>
          <cell r="I1353" t="str">
            <v>Profit and Loss</v>
          </cell>
          <cell r="J1353" t="str">
            <v>XAF</v>
          </cell>
          <cell r="K1353" t="str">
            <v>Produits des cessions d'immobilisations</v>
          </cell>
        </row>
        <row r="1354">
          <cell r="A1354" t="str">
            <v>A1353</v>
          </cell>
          <cell r="B1354" t="str">
            <v>"840000 - Produits hors activités ordinaires - OHADA"</v>
          </cell>
          <cell r="C1354" t="str">
            <v>Produits hors activités ordinaires</v>
          </cell>
          <cell r="D1354" t="str">
            <v>OHADA</v>
          </cell>
          <cell r="E1354" t="str">
            <v>8-Comptes des autres charges et des autres produits (PRODUITS) - OHADA</v>
          </cell>
          <cell r="F1354">
            <v>840000</v>
          </cell>
          <cell r="G1354" t="str">
            <v>1</v>
          </cell>
          <cell r="H1354" t="str">
            <v>Income</v>
          </cell>
          <cell r="I1354" t="str">
            <v>Profit and Loss</v>
          </cell>
          <cell r="J1354" t="str">
            <v>XAF</v>
          </cell>
          <cell r="K1354" t="str">
            <v>Autres produits H.A.O</v>
          </cell>
        </row>
        <row r="1355">
          <cell r="A1355" t="str">
            <v>A1354</v>
          </cell>
          <cell r="B1355" t="str">
            <v>"841000 - Produits HAO constatés - OHADA"</v>
          </cell>
          <cell r="C1355" t="str">
            <v>Produits HAO constatés</v>
          </cell>
          <cell r="D1355" t="str">
            <v>OHADA</v>
          </cell>
          <cell r="E1355" t="str">
            <v>840000 - Produits hors activités ordinaires - OHADA</v>
          </cell>
          <cell r="F1355">
            <v>841000</v>
          </cell>
          <cell r="G1355" t="str">
            <v>0</v>
          </cell>
          <cell r="H1355" t="str">
            <v>Income</v>
          </cell>
          <cell r="I1355" t="str">
            <v>Profit and Loss</v>
          </cell>
          <cell r="J1355" t="str">
            <v>XAF</v>
          </cell>
          <cell r="K1355" t="str">
            <v>Autres produits H.A.O</v>
          </cell>
        </row>
        <row r="1356">
          <cell r="A1356" t="str">
            <v>A1355</v>
          </cell>
          <cell r="B1356" t="str">
            <v>"843000 - Produits liés aux opérations de restructuration - OHADA"</v>
          </cell>
          <cell r="C1356" t="str">
            <v>Produits liés aux opérations de restructuration</v>
          </cell>
          <cell r="D1356" t="str">
            <v>OHADA</v>
          </cell>
          <cell r="E1356" t="str">
            <v>840000 - Produits hors activités ordinaires - OHADA</v>
          </cell>
          <cell r="F1356">
            <v>843000</v>
          </cell>
          <cell r="G1356" t="str">
            <v>0</v>
          </cell>
          <cell r="H1356" t="str">
            <v>Income</v>
          </cell>
          <cell r="I1356" t="str">
            <v>Profit and Loss</v>
          </cell>
          <cell r="J1356" t="str">
            <v>XAF</v>
          </cell>
          <cell r="K1356" t="str">
            <v>Autres produits H.A.O</v>
          </cell>
        </row>
        <row r="1357">
          <cell r="A1357" t="str">
            <v>A1356</v>
          </cell>
          <cell r="B1357" t="str">
            <v>"844000 - Indemnités et subventions HAO (entité agricole) - OHADA"</v>
          </cell>
          <cell r="C1357" t="str">
            <v>Indemnités et subventions HAO (entité agricole)</v>
          </cell>
          <cell r="D1357" t="str">
            <v>OHADA</v>
          </cell>
          <cell r="E1357" t="str">
            <v>840000 - Produits hors activités ordinaires - OHADA</v>
          </cell>
          <cell r="F1357">
            <v>844000</v>
          </cell>
          <cell r="G1357" t="str">
            <v>0</v>
          </cell>
          <cell r="H1357" t="str">
            <v>Income</v>
          </cell>
          <cell r="I1357" t="str">
            <v>Profit and Loss</v>
          </cell>
          <cell r="J1357" t="str">
            <v>XAF</v>
          </cell>
          <cell r="K1357" t="str">
            <v>Autres produits H.A.O</v>
          </cell>
        </row>
        <row r="1358">
          <cell r="A1358" t="str">
            <v>A1357</v>
          </cell>
          <cell r="B1358" t="str">
            <v>"845000 - Dons et libéralités obtenus - OHADA"</v>
          </cell>
          <cell r="C1358" t="str">
            <v>Dons et libéralités obtenus</v>
          </cell>
          <cell r="D1358" t="str">
            <v>OHADA</v>
          </cell>
          <cell r="E1358" t="str">
            <v>840000 - Produits hors activités ordinaires - OHADA</v>
          </cell>
          <cell r="F1358">
            <v>845000</v>
          </cell>
          <cell r="G1358" t="str">
            <v>0</v>
          </cell>
          <cell r="H1358" t="str">
            <v>Income</v>
          </cell>
          <cell r="I1358" t="str">
            <v>Profit and Loss</v>
          </cell>
          <cell r="J1358" t="str">
            <v>XAF</v>
          </cell>
          <cell r="K1358" t="str">
            <v>Autres produits H.A.O</v>
          </cell>
        </row>
        <row r="1359">
          <cell r="A1359" t="str">
            <v>A1358</v>
          </cell>
          <cell r="B1359" t="str">
            <v>"846000 - Abandons de créances obtenus - OHADA"</v>
          </cell>
          <cell r="C1359" t="str">
            <v>Abandons de créances obtenus</v>
          </cell>
          <cell r="D1359" t="str">
            <v>OHADA</v>
          </cell>
          <cell r="E1359" t="str">
            <v>840000 - Produits hors activités ordinaires - OHADA</v>
          </cell>
          <cell r="F1359">
            <v>846000</v>
          </cell>
          <cell r="G1359" t="str">
            <v>0</v>
          </cell>
          <cell r="H1359" t="str">
            <v>Income</v>
          </cell>
          <cell r="I1359" t="str">
            <v>Profit and Loss</v>
          </cell>
          <cell r="J1359" t="str">
            <v>XAF</v>
          </cell>
          <cell r="K1359" t="str">
            <v>Autres produits H.A.O</v>
          </cell>
        </row>
        <row r="1360">
          <cell r="A1360" t="str">
            <v>A1359</v>
          </cell>
          <cell r="B1360" t="str">
            <v>"847000 - Produits liés aux opérations de liquidation - OHADA"</v>
          </cell>
          <cell r="C1360" t="str">
            <v>Produits liés aux opérations de liquidation</v>
          </cell>
          <cell r="D1360" t="str">
            <v>OHADA</v>
          </cell>
          <cell r="E1360" t="str">
            <v>840000 - Produits hors activités ordinaires - OHADA</v>
          </cell>
          <cell r="F1360">
            <v>847000</v>
          </cell>
          <cell r="G1360" t="str">
            <v>0</v>
          </cell>
          <cell r="H1360" t="str">
            <v>Income</v>
          </cell>
          <cell r="I1360" t="str">
            <v>Profit and Loss</v>
          </cell>
          <cell r="J1360" t="str">
            <v>XAF</v>
          </cell>
          <cell r="K1360" t="str">
            <v>Autres produits H.A.O</v>
          </cell>
        </row>
        <row r="1361">
          <cell r="A1361" t="str">
            <v>A1360</v>
          </cell>
          <cell r="B1361" t="str">
            <v>"848000 - Transferts de charges HAO - OHADA"</v>
          </cell>
          <cell r="C1361" t="str">
            <v>Transferts de charges HAO</v>
          </cell>
          <cell r="D1361" t="str">
            <v>OHADA</v>
          </cell>
          <cell r="E1361" t="str">
            <v>840000 - Produits hors activités ordinaires - OHADA</v>
          </cell>
          <cell r="F1361">
            <v>848000</v>
          </cell>
          <cell r="G1361" t="str">
            <v>0</v>
          </cell>
          <cell r="H1361" t="str">
            <v>Income</v>
          </cell>
          <cell r="I1361" t="str">
            <v>Profit and Loss</v>
          </cell>
          <cell r="J1361" t="str">
            <v>XAF</v>
          </cell>
          <cell r="K1361" t="str">
            <v>Autres produits H.A.O</v>
          </cell>
        </row>
        <row r="1362">
          <cell r="A1362" t="str">
            <v>A1361</v>
          </cell>
          <cell r="B1362" t="str">
            <v>"849000 - Reprises de charges pour dépréciations et provisions pour risques à court terme HAO - OHADA"</v>
          </cell>
          <cell r="C1362" t="str">
            <v>Reprises de charges pour dépréciations et provisions pour risques à court terme HAO</v>
          </cell>
          <cell r="D1362" t="str">
            <v>OHADA</v>
          </cell>
          <cell r="E1362" t="str">
            <v>840000 - Produits hors activités ordinaires - OHADA</v>
          </cell>
          <cell r="F1362">
            <v>849000</v>
          </cell>
          <cell r="G1362" t="str">
            <v>0</v>
          </cell>
          <cell r="H1362" t="str">
            <v>Income</v>
          </cell>
          <cell r="I1362" t="str">
            <v>Profit and Loss</v>
          </cell>
          <cell r="J1362" t="str">
            <v>XAF</v>
          </cell>
          <cell r="K1362" t="str">
            <v>Autres produits H.A.O</v>
          </cell>
        </row>
        <row r="1363">
          <cell r="A1363" t="str">
            <v>A1362</v>
          </cell>
          <cell r="B1363" t="str">
            <v>"860000 - Reprises de charges, provisions et dépréciations HAO - OHADA"</v>
          </cell>
          <cell r="C1363" t="str">
            <v>Reprises de charges, provisions et dépréciations HAO</v>
          </cell>
          <cell r="D1363" t="str">
            <v>OHADA</v>
          </cell>
          <cell r="E1363" t="str">
            <v>8-Comptes des autres charges et des autres produits (PRODUITS) - OHADA</v>
          </cell>
          <cell r="F1363">
            <v>860000</v>
          </cell>
          <cell r="G1363" t="str">
            <v>1</v>
          </cell>
          <cell r="H1363" t="str">
            <v>Income</v>
          </cell>
          <cell r="I1363" t="str">
            <v>Profit and Loss</v>
          </cell>
          <cell r="J1363" t="str">
            <v>XAF</v>
          </cell>
          <cell r="K1363" t="str">
            <v>Autres produits H.A.O</v>
          </cell>
        </row>
        <row r="1364">
          <cell r="A1364" t="str">
            <v>A1363</v>
          </cell>
          <cell r="B1364" t="str">
            <v>"861000 - Reprises de provisions réglementées - OHADA"</v>
          </cell>
          <cell r="C1364" t="str">
            <v>Reprises de provisions réglementées</v>
          </cell>
          <cell r="D1364" t="str">
            <v>OHADA</v>
          </cell>
          <cell r="E1364" t="str">
            <v>860000 - Reprises de charges, provisions et dépréciations HAO - OHADA</v>
          </cell>
          <cell r="F1364">
            <v>861000</v>
          </cell>
          <cell r="G1364" t="str">
            <v>0</v>
          </cell>
          <cell r="H1364" t="str">
            <v>Income</v>
          </cell>
          <cell r="I1364" t="str">
            <v>Profit and Loss</v>
          </cell>
          <cell r="J1364" t="str">
            <v>XAF</v>
          </cell>
          <cell r="K1364" t="str">
            <v>Autres produits H.A.O</v>
          </cell>
        </row>
        <row r="1365">
          <cell r="A1365" t="str">
            <v>A1364</v>
          </cell>
          <cell r="B1365" t="str">
            <v>"862000 - Reprises d’amortissements HAO - OHADA"</v>
          </cell>
          <cell r="C1365" t="str">
            <v>Reprises d’amortissements HAO</v>
          </cell>
          <cell r="D1365" t="str">
            <v>OHADA</v>
          </cell>
          <cell r="E1365" t="str">
            <v>860000 - Reprises de charges, provisions et dépréciations HAO - OHADA</v>
          </cell>
          <cell r="F1365">
            <v>862000</v>
          </cell>
          <cell r="G1365" t="str">
            <v>0</v>
          </cell>
          <cell r="H1365" t="str">
            <v>Income</v>
          </cell>
          <cell r="I1365" t="str">
            <v>Profit and Loss</v>
          </cell>
          <cell r="J1365" t="str">
            <v>XAF</v>
          </cell>
          <cell r="K1365" t="str">
            <v>Autres produits H.A.O</v>
          </cell>
        </row>
        <row r="1366">
          <cell r="A1366" t="str">
            <v>A1365</v>
          </cell>
          <cell r="B1366" t="str">
            <v>"863000 - Reprises de dépréciations HAO - OHADA"</v>
          </cell>
          <cell r="C1366" t="str">
            <v>Reprises de dépréciations HAO</v>
          </cell>
          <cell r="D1366" t="str">
            <v>OHADA</v>
          </cell>
          <cell r="E1366" t="str">
            <v>860000 - Reprises de charges, provisions et dépréciations HAO - OHADA</v>
          </cell>
          <cell r="F1366">
            <v>863000</v>
          </cell>
          <cell r="G1366" t="str">
            <v>0</v>
          </cell>
          <cell r="H1366" t="str">
            <v>Income</v>
          </cell>
          <cell r="I1366" t="str">
            <v>Profit and Loss</v>
          </cell>
          <cell r="J1366" t="str">
            <v>XAF</v>
          </cell>
          <cell r="K1366" t="str">
            <v>Autres produits H.A.O</v>
          </cell>
        </row>
        <row r="1367">
          <cell r="A1367" t="str">
            <v>A1366</v>
          </cell>
          <cell r="B1367" t="str">
            <v>"864000 - Reprises de provisions pour risques et charges HAO - OHADA"</v>
          </cell>
          <cell r="C1367" t="str">
            <v>Reprises de provisions pour risques et charges HAO</v>
          </cell>
          <cell r="D1367" t="str">
            <v>OHADA</v>
          </cell>
          <cell r="E1367" t="str">
            <v>860000 - Reprises de charges, provisions et dépréciations HAO - OHADA</v>
          </cell>
          <cell r="F1367">
            <v>864000</v>
          </cell>
          <cell r="G1367" t="str">
            <v>0</v>
          </cell>
          <cell r="H1367" t="str">
            <v>Income</v>
          </cell>
          <cell r="I1367" t="str">
            <v>Profit and Loss</v>
          </cell>
          <cell r="J1367" t="str">
            <v>XAF</v>
          </cell>
          <cell r="K1367" t="str">
            <v>Autres produits H.A.O</v>
          </cell>
        </row>
        <row r="1368">
          <cell r="A1368" t="str">
            <v>A1367</v>
          </cell>
          <cell r="B1368" t="str">
            <v>"868000 - Autres reprises HAO - OHADA"</v>
          </cell>
          <cell r="C1368" t="str">
            <v>Autres reprises HAO</v>
          </cell>
          <cell r="D1368" t="str">
            <v>OHADA</v>
          </cell>
          <cell r="E1368" t="str">
            <v>860000 - Reprises de charges, provisions et dépréciations HAO - OHADA</v>
          </cell>
          <cell r="F1368">
            <v>868000</v>
          </cell>
          <cell r="G1368" t="str">
            <v>0</v>
          </cell>
          <cell r="H1368" t="str">
            <v>Income</v>
          </cell>
          <cell r="I1368" t="str">
            <v>Profit and Loss</v>
          </cell>
          <cell r="J1368" t="str">
            <v>XAF</v>
          </cell>
          <cell r="K1368" t="str">
            <v>Autres produits H.A.O</v>
          </cell>
        </row>
        <row r="1369">
          <cell r="A1369" t="str">
            <v>A1368</v>
          </cell>
          <cell r="B1369" t="str">
            <v>"880000 - Subventions d’équilibre - OHADA"</v>
          </cell>
          <cell r="C1369" t="str">
            <v>Subventions d’équilibre</v>
          </cell>
          <cell r="D1369" t="str">
            <v>OHADA</v>
          </cell>
          <cell r="E1369" t="str">
            <v>8-Comptes des autres charges et des autres produits (PRODUITS) - OHADA</v>
          </cell>
          <cell r="F1369">
            <v>880000</v>
          </cell>
          <cell r="G1369" t="str">
            <v>1</v>
          </cell>
          <cell r="H1369" t="str">
            <v>Income</v>
          </cell>
          <cell r="I1369" t="str">
            <v>Profit and Loss</v>
          </cell>
          <cell r="J1369" t="str">
            <v>XAF</v>
          </cell>
          <cell r="K1369" t="str">
            <v>Autres produits H.A.O</v>
          </cell>
        </row>
        <row r="1370">
          <cell r="A1370" t="str">
            <v>A1369</v>
          </cell>
          <cell r="B1370" t="str">
            <v>"881000 - État - OHADA"</v>
          </cell>
          <cell r="C1370" t="str">
            <v>État</v>
          </cell>
          <cell r="D1370" t="str">
            <v>OHADA</v>
          </cell>
          <cell r="E1370" t="str">
            <v>880000 - Subventions d’équilibre - OHADA</v>
          </cell>
          <cell r="F1370">
            <v>881000</v>
          </cell>
          <cell r="G1370" t="str">
            <v>0</v>
          </cell>
          <cell r="H1370" t="str">
            <v>Income</v>
          </cell>
          <cell r="I1370" t="str">
            <v>Profit and Loss</v>
          </cell>
          <cell r="J1370" t="str">
            <v>XAF</v>
          </cell>
          <cell r="K1370" t="str">
            <v>Autres produits H.A.O</v>
          </cell>
        </row>
        <row r="1371">
          <cell r="A1371" t="str">
            <v>A1370</v>
          </cell>
          <cell r="B1371" t="str">
            <v>"884000 - Collectivités publiques - OHADA"</v>
          </cell>
          <cell r="C1371" t="str">
            <v>Collectivités publiques</v>
          </cell>
          <cell r="D1371" t="str">
            <v>OHADA</v>
          </cell>
          <cell r="E1371" t="str">
            <v>880000 - Subventions d’équilibre - OHADA</v>
          </cell>
          <cell r="F1371">
            <v>884000</v>
          </cell>
          <cell r="G1371" t="str">
            <v>0</v>
          </cell>
          <cell r="H1371" t="str">
            <v>Income</v>
          </cell>
          <cell r="I1371" t="str">
            <v>Profit and Loss</v>
          </cell>
          <cell r="J1371" t="str">
            <v>XAF</v>
          </cell>
          <cell r="K1371" t="str">
            <v>Autres produits H.A.O</v>
          </cell>
        </row>
        <row r="1372">
          <cell r="A1372" t="str">
            <v>A1371</v>
          </cell>
          <cell r="B1372" t="str">
            <v>"886000 - Groupe - OHADA"</v>
          </cell>
          <cell r="C1372" t="str">
            <v>Groupe</v>
          </cell>
          <cell r="D1372" t="str">
            <v>OHADA</v>
          </cell>
          <cell r="E1372" t="str">
            <v>880000 - Subventions d’équilibre - OHADA</v>
          </cell>
          <cell r="F1372">
            <v>886000</v>
          </cell>
          <cell r="G1372" t="str">
            <v>0</v>
          </cell>
          <cell r="H1372" t="str">
            <v>Income</v>
          </cell>
          <cell r="I1372" t="str">
            <v>Profit and Loss</v>
          </cell>
          <cell r="J1372" t="str">
            <v>XAF</v>
          </cell>
          <cell r="K1372" t="str">
            <v>Autres produits H.A.O</v>
          </cell>
        </row>
        <row r="1373">
          <cell r="A1373" t="str">
            <v>A1372</v>
          </cell>
          <cell r="B1373" t="str">
            <v>"888000 - Autres - OHADA"</v>
          </cell>
          <cell r="C1373" t="str">
            <v>Autres</v>
          </cell>
          <cell r="D1373" t="str">
            <v>OHADA</v>
          </cell>
          <cell r="E1373" t="str">
            <v>880000 - Subventions d’équilibre - OHADA</v>
          </cell>
          <cell r="F1373">
            <v>888000</v>
          </cell>
          <cell r="G1373" t="str">
            <v>0</v>
          </cell>
          <cell r="H1373" t="str">
            <v>Income</v>
          </cell>
          <cell r="I1373" t="str">
            <v>Profit and Loss</v>
          </cell>
          <cell r="J1373" t="str">
            <v>XAF</v>
          </cell>
          <cell r="K1373" t="str">
            <v>Autres produits H.A.O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F1373"/>
  <sheetViews>
    <sheetView tabSelected="1" view="normal" workbookViewId="0">
      <pane ySplit="1" topLeftCell="A2" activePane="bottomLeft" state="frozen"/>
      <selection pane="bottomLeft" activeCell="C23" sqref="C23"/>
    </sheetView>
  </sheetViews>
  <sheetFormatPr defaultRowHeight="15.40"/>
  <cols>
    <col min="1" max="1" width="58.000000" customWidth="1"/>
    <col min="2" max="2" width="37.437500" customWidth="1"/>
    <col min="3" max="3" width="27.553571" customWidth="1"/>
    <col min="4" max="4" width="17.553571" customWidth="1" style="4"/>
    <col min="5" max="5" width="58.633929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4">
      <c r="A2" t="s">
        <v>6</v>
      </c>
      <c r="B2" t="s">
        <v>7</v>
      </c>
      <c r="D2" s="4" t="s">
        <v>8</v>
      </c>
    </row>
    <row r="3" spans="1:4">
      <c r="A3" t="s">
        <v>9</v>
      </c>
      <c r="B3" t="s">
        <v>10</v>
      </c>
      <c r="C3" t="s">
        <v>11</v>
      </c>
      <c r="D3" s="4" t="s">
        <v>12</v>
      </c>
    </row>
    <row r="4" spans="1:5">
      <c r="A4" t="s">
        <v>13</v>
      </c>
      <c r="B4" t="s">
        <v>14</v>
      </c>
      <c r="C4" t="s">
        <v>15</v>
      </c>
      <c r="D4" s="4" t="s">
        <v>16</v>
      </c>
      <c r="E4" t="str">
        <f aca="1">INDEX('[1]Data Export (2)'!$A:$K,MATCH(A4,'[1]Data Export (2)'!$B:$B,0),11)</f>
        <v>Capital</v>
      </c>
    </row>
    <row r="5" spans="1:5">
      <c r="A5" t="s">
        <v>17</v>
      </c>
      <c r="B5" t="s">
        <v>18</v>
      </c>
      <c r="C5" t="s">
        <v>19</v>
      </c>
      <c r="D5" s="4" t="s">
        <v>20</v>
      </c>
      <c r="E5" t="str">
        <f aca="1">INDEX('[1]Data Export (2)'!$A:$K,MATCH(A5,'[1]Data Export (2)'!$B:$B,0),11)</f>
        <v>Capital</v>
      </c>
    </row>
    <row r="6" spans="1:5">
      <c r="A6" t="s">
        <v>21</v>
      </c>
      <c r="B6" t="s">
        <v>22</v>
      </c>
      <c r="C6" t="s">
        <v>23</v>
      </c>
      <c r="D6" s="4" t="s">
        <v>24</v>
      </c>
      <c r="E6" t="str">
        <f aca="1">INDEX('[1]Data Export (2)'!$A:$K,MATCH(A6,'[1]Data Export (2)'!$B:$B,0),11)</f>
        <v>Capital</v>
      </c>
    </row>
    <row r="7" spans="1:5">
      <c r="A7" t="s">
        <v>25</v>
      </c>
      <c r="B7" t="s">
        <v>26</v>
      </c>
      <c r="C7" t="s">
        <v>27</v>
      </c>
      <c r="D7" s="4" t="s">
        <v>28</v>
      </c>
      <c r="E7" t="str">
        <f aca="1">INDEX('[1]Data Export (2)'!$A:$K,MATCH(A7,'[1]Data Export (2)'!$B:$B,0),11)</f>
        <v>Capital</v>
      </c>
    </row>
    <row r="8" spans="1:5">
      <c r="A8" t="s">
        <v>29</v>
      </c>
      <c r="B8" t="s">
        <v>30</v>
      </c>
      <c r="C8" t="s">
        <v>31</v>
      </c>
      <c r="D8" s="4" t="s">
        <v>32</v>
      </c>
      <c r="E8" t="str">
        <f aca="1">INDEX('[1]Data Export (2)'!$A:$K,MATCH(A8,'[1]Data Export (2)'!$B:$B,0),11)</f>
        <v>Capital</v>
      </c>
    </row>
    <row r="9" spans="1:5">
      <c r="A9" t="s">
        <v>33</v>
      </c>
      <c r="B9" t="s">
        <v>34</v>
      </c>
      <c r="C9" t="s">
        <v>35</v>
      </c>
      <c r="D9" s="4" t="s">
        <v>36</v>
      </c>
      <c r="E9" t="str">
        <f aca="1">INDEX('[1]Data Export (2)'!$A:$K,MATCH(A9,'[1]Data Export (2)'!$B:$B,0),11)</f>
        <v>Capital</v>
      </c>
    </row>
    <row r="10" spans="1:5">
      <c r="A10" t="s">
        <v>37</v>
      </c>
      <c r="B10" t="s">
        <v>38</v>
      </c>
      <c r="C10" t="s">
        <v>39</v>
      </c>
      <c r="D10" s="4" t="s">
        <v>40</v>
      </c>
      <c r="E10" t="str">
        <f aca="1">INDEX('[1]Data Export (2)'!$A:$K,MATCH(A10,'[1]Data Export (2)'!$B:$B,0),11)</f>
        <v>Capital</v>
      </c>
    </row>
    <row r="11" spans="1:5">
      <c r="A11" t="s">
        <v>41</v>
      </c>
      <c r="B11" t="s">
        <v>42</v>
      </c>
      <c r="C11" t="s">
        <v>43</v>
      </c>
      <c r="D11" s="4" t="s">
        <v>44</v>
      </c>
      <c r="E11" t="str">
        <f aca="1">INDEX('[1]Data Export (2)'!$A:$K,MATCH(A11,'[1]Data Export (2)'!$B:$B,0),11)</f>
        <v>Capital</v>
      </c>
    </row>
    <row r="12" spans="1:5">
      <c r="A12" t="s">
        <v>45</v>
      </c>
      <c r="B12" t="s">
        <v>46</v>
      </c>
      <c r="C12" t="s">
        <v>47</v>
      </c>
      <c r="D12" s="4" t="s">
        <v>48</v>
      </c>
      <c r="E12" t="str">
        <f aca="1">INDEX('[1]Data Export (2)'!$A:$K,MATCH(A12,'[1]Data Export (2)'!$B:$B,0),11)</f>
        <v>Capital</v>
      </c>
    </row>
    <row r="13" spans="1:5">
      <c r="A13" t="s">
        <v>49</v>
      </c>
      <c r="B13" t="s">
        <v>50</v>
      </c>
      <c r="C13" t="s">
        <v>51</v>
      </c>
      <c r="D13" s="4" t="s">
        <v>52</v>
      </c>
      <c r="E13" t="str">
        <f aca="1">INDEX('[1]Data Export (2)'!$A:$K,MATCH(A13,'[1]Data Export (2)'!$B:$B,0),11)</f>
        <v>Capital</v>
      </c>
    </row>
    <row r="14" spans="1:5">
      <c r="A14" t="s">
        <v>53</v>
      </c>
      <c r="B14" t="s">
        <v>54</v>
      </c>
      <c r="C14" t="s">
        <v>55</v>
      </c>
      <c r="D14" s="4" t="s">
        <v>56</v>
      </c>
      <c r="E14" t="str">
        <f aca="1">INDEX('[1]Data Export (2)'!$A:$K,MATCH(A14,'[1]Data Export (2)'!$B:$B,0),11)</f>
        <v>Capital</v>
      </c>
    </row>
    <row r="15" spans="1:5">
      <c r="A15" t="s">
        <v>57</v>
      </c>
      <c r="B15" t="s">
        <v>58</v>
      </c>
      <c r="C15" t="s">
        <v>59</v>
      </c>
      <c r="D15" s="4" t="s">
        <v>60</v>
      </c>
      <c r="E15" t="str">
        <f aca="1">INDEX('[1]Data Export (2)'!$A:$K,MATCH(A15,'[1]Data Export (2)'!$B:$B,0),11)</f>
        <v>Capital</v>
      </c>
    </row>
    <row r="16" spans="1:5">
      <c r="A16" t="s">
        <v>61</v>
      </c>
      <c r="B16" t="s">
        <v>62</v>
      </c>
      <c r="C16" t="s">
        <v>63</v>
      </c>
      <c r="D16" s="4" t="s">
        <v>64</v>
      </c>
      <c r="E16" t="str">
        <f aca="1">INDEX('[1]Data Export (2)'!$A:$K,MATCH(A16,'[1]Data Export (2)'!$B:$B,0),11)</f>
        <v>Capital</v>
      </c>
    </row>
    <row r="17" spans="1:5">
      <c r="A17" t="s">
        <v>65</v>
      </c>
      <c r="B17" t="s">
        <v>66</v>
      </c>
      <c r="C17" t="s">
        <v>67</v>
      </c>
      <c r="D17" s="4" t="s">
        <v>68</v>
      </c>
      <c r="E17" t="str">
        <f aca="1">INDEX('[1]Data Export (2)'!$A:$K,MATCH(A17,'[1]Data Export (2)'!$B:$B,0),11)</f>
        <v>Capital</v>
      </c>
    </row>
    <row r="18" spans="1:5">
      <c r="A18" t="s">
        <v>69</v>
      </c>
      <c r="B18" t="s">
        <v>70</v>
      </c>
      <c r="C18" t="s">
        <v>71</v>
      </c>
      <c r="D18" s="4" t="s">
        <v>72</v>
      </c>
      <c r="E18" t="str">
        <f aca="1">INDEX('[1]Data Export (2)'!$A:$K,MATCH(A18,'[1]Data Export (2)'!$B:$B,0),11)</f>
        <v>Capital</v>
      </c>
    </row>
    <row r="19" spans="1:5">
      <c r="A19" t="s">
        <v>73</v>
      </c>
      <c r="B19" t="s">
        <v>74</v>
      </c>
      <c r="C19" t="s">
        <v>75</v>
      </c>
      <c r="D19" s="4" t="s">
        <v>76</v>
      </c>
      <c r="E19" t="str">
        <f aca="1">INDEX('[1]Data Export (2)'!$A:$K,MATCH(A19,'[1]Data Export (2)'!$B:$B,0),11)</f>
        <v>Capital</v>
      </c>
    </row>
    <row r="20" spans="1:5">
      <c r="A20" t="s">
        <v>77</v>
      </c>
      <c r="B20" t="s">
        <v>78</v>
      </c>
      <c r="C20" t="s">
        <v>79</v>
      </c>
      <c r="D20" s="4" t="s">
        <v>80</v>
      </c>
      <c r="E20" t="str">
        <f aca="1">INDEX('[1]Data Export (2)'!$A:$K,MATCH(A20,'[1]Data Export (2)'!$B:$B,0),11)</f>
        <v>Capital</v>
      </c>
    </row>
    <row r="21" spans="1:5">
      <c r="A21" t="s">
        <v>81</v>
      </c>
      <c r="B21" t="s">
        <v>82</v>
      </c>
      <c r="C21" t="s">
        <v>83</v>
      </c>
      <c r="D21" s="4" t="s">
        <v>84</v>
      </c>
      <c r="E21" t="str">
        <f aca="1">INDEX('[1]Data Export (2)'!$A:$K,MATCH(A21,'[1]Data Export (2)'!$B:$B,0),11)</f>
        <v>Primes liées au capital social</v>
      </c>
    </row>
    <row r="22" spans="1:5">
      <c r="A22" t="s">
        <v>85</v>
      </c>
      <c r="B22" t="s">
        <v>86</v>
      </c>
      <c r="C22" t="s">
        <v>87</v>
      </c>
      <c r="D22" s="4" t="s">
        <v>88</v>
      </c>
      <c r="E22" t="str">
        <f aca="1">INDEX('[1]Data Export (2)'!$A:$K,MATCH(A22,'[1]Data Export (2)'!$B:$B,0),11)</f>
        <v>Primes liées au capital social</v>
      </c>
    </row>
    <row r="23" spans="1:5">
      <c r="A23" t="s">
        <v>89</v>
      </c>
      <c r="B23" t="s">
        <v>90</v>
      </c>
      <c r="C23" t="s">
        <v>91</v>
      </c>
      <c r="D23" s="4" t="s">
        <v>92</v>
      </c>
      <c r="E23" t="str">
        <f aca="1">INDEX('[1]Data Export (2)'!$A:$K,MATCH(A23,'[1]Data Export (2)'!$B:$B,0),11)</f>
        <v>Primes liées au capital social</v>
      </c>
    </row>
    <row r="24" spans="1:5">
      <c r="A24" t="s">
        <v>93</v>
      </c>
      <c r="B24" t="s">
        <v>94</v>
      </c>
      <c r="C24" t="s">
        <v>95</v>
      </c>
      <c r="D24" s="4" t="s">
        <v>96</v>
      </c>
      <c r="E24" t="str">
        <f aca="1">INDEX('[1]Data Export (2)'!$A:$K,MATCH(A24,'[1]Data Export (2)'!$B:$B,0),11)</f>
        <v>Primes liées au capital social</v>
      </c>
    </row>
    <row r="25" spans="1:5">
      <c r="A25" t="s">
        <v>97</v>
      </c>
      <c r="B25" t="s">
        <v>98</v>
      </c>
      <c r="C25" t="s">
        <v>99</v>
      </c>
      <c r="D25" s="4" t="s">
        <v>100</v>
      </c>
      <c r="E25" t="str">
        <f aca="1">INDEX('[1]Data Export (2)'!$A:$K,MATCH(A25,'[1]Data Export (2)'!$B:$B,0),11)</f>
        <v>Primes liées au capital social</v>
      </c>
    </row>
    <row r="26" spans="1:5">
      <c r="A26" t="s">
        <v>101</v>
      </c>
      <c r="B26" t="s">
        <v>102</v>
      </c>
      <c r="C26" t="s">
        <v>103</v>
      </c>
      <c r="D26" s="4" t="s">
        <v>104</v>
      </c>
      <c r="E26" t="str">
        <f aca="1">INDEX('[1]Data Export (2)'!$A:$K,MATCH(A26,'[1]Data Export (2)'!$B:$B,0),11)</f>
        <v>Primes liées au capital social</v>
      </c>
    </row>
    <row r="27" spans="1:5">
      <c r="A27" t="s">
        <v>105</v>
      </c>
      <c r="B27" t="s">
        <v>106</v>
      </c>
      <c r="C27" t="s">
        <v>107</v>
      </c>
      <c r="D27" s="4" t="s">
        <v>108</v>
      </c>
      <c r="E27" t="str">
        <f aca="1">INDEX('[1]Data Export (2)'!$A:$K,MATCH(A27,'[1]Data Export (2)'!$B:$B,0),11)</f>
        <v>Ecarts de réévaluation</v>
      </c>
    </row>
    <row r="28" spans="1:5">
      <c r="A28" t="s">
        <v>109</v>
      </c>
      <c r="B28" t="s">
        <v>110</v>
      </c>
      <c r="C28" t="s">
        <v>111</v>
      </c>
      <c r="D28" s="4" t="s">
        <v>112</v>
      </c>
      <c r="E28" t="str">
        <f aca="1">INDEX('[1]Data Export (2)'!$A:$K,MATCH(A28,'[1]Data Export (2)'!$B:$B,0),11)</f>
        <v>Ecarts de réévaluation</v>
      </c>
    </row>
    <row r="29" spans="1:5">
      <c r="A29" t="s">
        <v>113</v>
      </c>
      <c r="B29" t="s">
        <v>114</v>
      </c>
      <c r="C29" t="s">
        <v>115</v>
      </c>
      <c r="D29" s="4" t="s">
        <v>116</v>
      </c>
      <c r="E29" t="str">
        <f aca="1">INDEX('[1]Data Export (2)'!$A:$K,MATCH(A29,'[1]Data Export (2)'!$B:$B,0),11)</f>
        <v>Ecarts de réévaluation</v>
      </c>
    </row>
    <row r="30" spans="1:5">
      <c r="A30" t="s">
        <v>117</v>
      </c>
      <c r="B30" t="s">
        <v>118</v>
      </c>
      <c r="C30" t="s">
        <v>119</v>
      </c>
      <c r="D30" s="4" t="s">
        <v>120</v>
      </c>
      <c r="E30" t="str">
        <f aca="1">INDEX('[1]Data Export (2)'!$A:$K,MATCH(A30,'[1]Data Export (2)'!$B:$B,0),11)</f>
        <v>Apporteurs capital non appelé</v>
      </c>
    </row>
    <row r="31" spans="1:4">
      <c r="A31" t="s">
        <v>121</v>
      </c>
      <c r="B31" t="s">
        <v>122</v>
      </c>
      <c r="C31" t="s">
        <v>123</v>
      </c>
      <c r="D31" s="4" t="s">
        <v>124</v>
      </c>
    </row>
    <row r="32" spans="1:5">
      <c r="A32" t="s">
        <v>125</v>
      </c>
      <c r="B32" t="s">
        <v>126</v>
      </c>
      <c r="C32" t="s">
        <v>127</v>
      </c>
      <c r="D32" s="4" t="s">
        <v>128</v>
      </c>
      <c r="E32" t="str">
        <f aca="1">INDEX('[1]Data Export (2)'!$A:$K,MATCH(A32,'[1]Data Export (2)'!$B:$B,0),11)</f>
        <v>Réserves indisponibles</v>
      </c>
    </row>
    <row r="33" spans="1:5">
      <c r="A33" t="s">
        <v>129</v>
      </c>
      <c r="B33" t="s">
        <v>130</v>
      </c>
      <c r="C33" t="s">
        <v>131</v>
      </c>
      <c r="D33" s="4" t="s">
        <v>132</v>
      </c>
      <c r="E33" t="str">
        <f aca="1">INDEX('[1]Data Export (2)'!$A:$K,MATCH(A33,'[1]Data Export (2)'!$B:$B,0),11)</f>
        <v>Réserves indisponibles</v>
      </c>
    </row>
    <row r="34" spans="1:5">
      <c r="A34" t="s">
        <v>133</v>
      </c>
      <c r="B34" t="s">
        <v>134</v>
      </c>
      <c r="C34" t="s">
        <v>135</v>
      </c>
      <c r="D34" s="4" t="s">
        <v>136</v>
      </c>
      <c r="E34" t="str">
        <f aca="1">INDEX('[1]Data Export (2)'!$A:$K,MATCH(A34,'[1]Data Export (2)'!$B:$B,0),11)</f>
        <v>Réserves indisponibles</v>
      </c>
    </row>
    <row r="35" spans="1:5">
      <c r="A35" t="s">
        <v>137</v>
      </c>
      <c r="B35" t="s">
        <v>138</v>
      </c>
      <c r="C35" t="s">
        <v>139</v>
      </c>
      <c r="D35" s="2" t="n">
        <v>113100</v>
      </c>
      <c r="E35" t="str">
        <f aca="1">INDEX('[1]Data Export (2)'!$A:$K,MATCH(D35,'[1]Data Export (2)'!$F:$F,0),11)</f>
        <v>Réserves indisponibles</v>
      </c>
    </row>
    <row r="36" spans="1:5">
      <c r="A36" t="s">
        <v>140</v>
      </c>
      <c r="B36" t="s">
        <v>141</v>
      </c>
      <c r="C36" t="s">
        <v>142</v>
      </c>
      <c r="D36" s="2" t="n">
        <v>113200</v>
      </c>
      <c r="E36" t="str">
        <f aca="1">INDEX('[1]Data Export (2)'!$A:$K,MATCH(A36,'[1]Data Export (2)'!$B:$B,0),11)</f>
        <v>Réserves indisponibles</v>
      </c>
    </row>
    <row r="37" spans="1:5">
      <c r="A37" t="s">
        <v>143</v>
      </c>
      <c r="B37" t="s">
        <v>144</v>
      </c>
      <c r="C37" t="s">
        <v>145</v>
      </c>
      <c r="D37" s="2" t="n">
        <v>113300</v>
      </c>
      <c r="E37" t="str">
        <f aca="1">INDEX('[1]Data Export (2)'!$A:$K,MATCH(A37,'[1]Data Export (2)'!$B:$B,0),11)</f>
        <v>Réserves indisponibles</v>
      </c>
    </row>
    <row r="38" spans="1:5">
      <c r="A38" t="s">
        <v>146</v>
      </c>
      <c r="B38" t="s">
        <v>147</v>
      </c>
      <c r="C38" t="s">
        <v>148</v>
      </c>
      <c r="D38" s="2" t="n">
        <v>113400</v>
      </c>
      <c r="E38" t="str">
        <f aca="1">INDEX('[1]Data Export (2)'!$A:$K,MATCH(A38,'[1]Data Export (2)'!$B:$B,0),11)</f>
        <v>Réserves indisponibles</v>
      </c>
    </row>
    <row r="39" spans="1:5">
      <c r="A39" t="s">
        <v>149</v>
      </c>
      <c r="B39" t="s">
        <v>150</v>
      </c>
      <c r="C39" t="s">
        <v>151</v>
      </c>
      <c r="D39" s="2" t="n">
        <v>113500</v>
      </c>
      <c r="E39" t="str">
        <f aca="1">INDEX('[1]Data Export (2)'!$A:$K,MATCH(A39,'[1]Data Export (2)'!$B:$B,0),11)</f>
        <v>Réserves indisponibles</v>
      </c>
    </row>
    <row r="40" spans="1:5">
      <c r="A40" t="s">
        <v>152</v>
      </c>
      <c r="B40" t="s">
        <v>153</v>
      </c>
      <c r="C40" t="s">
        <v>154</v>
      </c>
      <c r="D40" s="2" t="n">
        <v>118000</v>
      </c>
      <c r="E40" t="str">
        <f aca="1">INDEX('[1]Data Export (2)'!$A:$K,MATCH(A40,'[1]Data Export (2)'!$B:$B,0),11)</f>
        <v>Réserves libres</v>
      </c>
    </row>
    <row r="41" spans="1:5">
      <c r="A41" t="s">
        <v>155</v>
      </c>
      <c r="B41" t="s">
        <v>156</v>
      </c>
      <c r="C41" t="s">
        <v>157</v>
      </c>
      <c r="D41" s="2" t="n">
        <v>118100</v>
      </c>
      <c r="E41" t="str">
        <f aca="1">INDEX('[1]Data Export (2)'!$A:$K,MATCH(A41,'[1]Data Export (2)'!$B:$B,0),11)</f>
        <v>Réserves libres</v>
      </c>
    </row>
    <row r="42" spans="1:5">
      <c r="A42" t="s">
        <v>158</v>
      </c>
      <c r="B42" t="s">
        <v>159</v>
      </c>
      <c r="C42" t="s">
        <v>160</v>
      </c>
      <c r="D42" s="2" t="n">
        <v>118800</v>
      </c>
      <c r="E42" t="str">
        <f aca="1">INDEX('[1]Data Export (2)'!$A:$K,MATCH(A42,'[1]Data Export (2)'!$B:$B,0),11)</f>
        <v>Réserves libres</v>
      </c>
    </row>
    <row r="43" spans="1:4">
      <c r="A43" t="s">
        <v>161</v>
      </c>
      <c r="B43" t="s">
        <v>162</v>
      </c>
      <c r="C43" t="s">
        <v>163</v>
      </c>
      <c r="D43" s="2" t="n">
        <v>12</v>
      </c>
    </row>
    <row r="44" spans="1:5">
      <c r="A44" t="s">
        <v>164</v>
      </c>
      <c r="B44" t="s">
        <v>165</v>
      </c>
      <c r="C44" t="s">
        <v>166</v>
      </c>
      <c r="D44" s="2" t="n">
        <v>121000</v>
      </c>
      <c r="E44" t="str">
        <f aca="1">INDEX('[1]Data Export (2)'!$A:$K,MATCH(A44,'[1]Data Export (2)'!$B:$B,0),11)</f>
        <v>Report à nouveau </v>
      </c>
    </row>
    <row r="45" spans="1:5">
      <c r="A45" t="s">
        <v>167</v>
      </c>
      <c r="B45" t="s">
        <v>168</v>
      </c>
      <c r="C45" t="s">
        <v>169</v>
      </c>
      <c r="D45" s="2" t="n">
        <v>129000</v>
      </c>
      <c r="E45" t="str">
        <f aca="1">INDEX('[1]Data Export (2)'!$A:$K,MATCH(A45,'[1]Data Export (2)'!$B:$B,0),11)</f>
        <v>Report à nouveau </v>
      </c>
    </row>
    <row r="46" spans="1:5">
      <c r="A46" t="s">
        <v>170</v>
      </c>
      <c r="B46" t="s">
        <v>171</v>
      </c>
      <c r="C46" t="s">
        <v>172</v>
      </c>
      <c r="D46" s="2" t="n">
        <v>129100</v>
      </c>
      <c r="E46" t="str">
        <f aca="1">INDEX('[1]Data Export (2)'!$A:$K,MATCH(A46,'[1]Data Export (2)'!$B:$B,0),11)</f>
        <v>Report à nouveau </v>
      </c>
    </row>
    <row r="47" spans="1:5">
      <c r="A47" t="s">
        <v>173</v>
      </c>
      <c r="B47" t="s">
        <v>174</v>
      </c>
      <c r="C47" t="s">
        <v>175</v>
      </c>
      <c r="D47" s="2" t="n">
        <v>129200</v>
      </c>
      <c r="E47" t="str">
        <f aca="1">INDEX('[1]Data Export (2)'!$A:$K,MATCH(A47,'[1]Data Export (2)'!$B:$B,0),11)</f>
        <v>Report à nouveau </v>
      </c>
    </row>
    <row r="48" spans="1:4">
      <c r="A48" t="s">
        <v>176</v>
      </c>
      <c r="B48" t="s">
        <v>177</v>
      </c>
      <c r="C48" t="s">
        <v>178</v>
      </c>
      <c r="D48" s="2" t="n">
        <v>13</v>
      </c>
    </row>
    <row r="49" spans="1:5">
      <c r="A49" t="s">
        <v>179</v>
      </c>
      <c r="B49" t="s">
        <v>180</v>
      </c>
      <c r="C49" t="s">
        <v>181</v>
      </c>
      <c r="D49" s="2" t="n">
        <v>130000</v>
      </c>
      <c r="E49" t="str">
        <f aca="1">INDEX('[1]Data Export (2)'!$A:$K,MATCH(A49,'[1]Data Export (2)'!$B:$B,0),11)</f>
        <v>Résultat net de l'exercice</v>
      </c>
    </row>
    <row r="50" spans="1:5">
      <c r="A50" t="s">
        <v>182</v>
      </c>
      <c r="B50" t="s">
        <v>183</v>
      </c>
      <c r="C50" t="s">
        <v>184</v>
      </c>
      <c r="D50" s="2" t="n">
        <v>130100</v>
      </c>
      <c r="E50" t="str">
        <f aca="1">INDEX('[1]Data Export (2)'!$A:$K,MATCH(A50,'[1]Data Export (2)'!$B:$B,0),11)</f>
        <v>Résultat net de l'exercice</v>
      </c>
    </row>
    <row r="51" spans="1:5">
      <c r="A51" t="s">
        <v>185</v>
      </c>
      <c r="B51" t="s">
        <v>186</v>
      </c>
      <c r="C51" t="s">
        <v>187</v>
      </c>
      <c r="D51" s="2" t="n">
        <v>130900</v>
      </c>
      <c r="E51" t="str">
        <f aca="1">INDEX('[1]Data Export (2)'!$A:$K,MATCH(A51,'[1]Data Export (2)'!$B:$B,0),11)</f>
        <v>Résultat net de l'exercice</v>
      </c>
    </row>
    <row r="52" spans="1:5">
      <c r="A52" t="s">
        <v>188</v>
      </c>
      <c r="B52" t="s">
        <v>189</v>
      </c>
      <c r="C52" t="s">
        <v>190</v>
      </c>
      <c r="D52" s="2" t="n">
        <v>131000</v>
      </c>
      <c r="E52" t="str">
        <f aca="1">INDEX('[1]Data Export (2)'!$A:$K,MATCH(A52,'[1]Data Export (2)'!$B:$B,0),11)</f>
        <v>Résultat net de l'exercice</v>
      </c>
    </row>
    <row r="53" spans="1:5">
      <c r="A53" t="s">
        <v>191</v>
      </c>
      <c r="B53" t="s">
        <v>192</v>
      </c>
      <c r="C53" t="s">
        <v>193</v>
      </c>
      <c r="D53" s="2" t="n">
        <v>132000</v>
      </c>
      <c r="E53" t="str">
        <f aca="1">INDEX('[1]Data Export (2)'!$A:$K,MATCH(A53,'[1]Data Export (2)'!$B:$B,0),11)</f>
        <v>Résultat net de l'exercice</v>
      </c>
    </row>
    <row r="54" spans="1:5">
      <c r="A54" t="s">
        <v>194</v>
      </c>
      <c r="B54" t="s">
        <v>195</v>
      </c>
      <c r="C54" t="s">
        <v>196</v>
      </c>
      <c r="D54" s="2" t="n">
        <v>133000</v>
      </c>
      <c r="E54" t="str">
        <f aca="1">INDEX('[1]Data Export (2)'!$A:$K,MATCH(A54,'[1]Data Export (2)'!$B:$B,0),11)</f>
        <v>Résultat net de l'exercice</v>
      </c>
    </row>
    <row r="55" spans="1:5">
      <c r="A55" t="s">
        <v>197</v>
      </c>
      <c r="B55" t="s">
        <v>198</v>
      </c>
      <c r="C55" t="s">
        <v>199</v>
      </c>
      <c r="D55" s="2" t="n">
        <v>134000</v>
      </c>
      <c r="E55" t="str">
        <f aca="1">INDEX('[1]Data Export (2)'!$A:$K,MATCH(A55,'[1]Data Export (2)'!$B:$B,0),11)</f>
        <v>Résultat net de l'exercice</v>
      </c>
    </row>
    <row r="56" spans="1:5">
      <c r="A56" t="s">
        <v>200</v>
      </c>
      <c r="B56" t="s">
        <v>201</v>
      </c>
      <c r="C56" t="s">
        <v>202</v>
      </c>
      <c r="D56" s="2" t="n">
        <v>135000</v>
      </c>
      <c r="E56" t="str">
        <f aca="1">INDEX('[1]Data Export (2)'!$A:$K,MATCH(A56,'[1]Data Export (2)'!$B:$B,0),11)</f>
        <v>Résultat net de l'exercice</v>
      </c>
    </row>
    <row r="57" spans="1:5">
      <c r="A57" t="s">
        <v>203</v>
      </c>
      <c r="B57" t="s">
        <v>204</v>
      </c>
      <c r="C57" t="s">
        <v>205</v>
      </c>
      <c r="D57" s="2" t="n">
        <v>136000</v>
      </c>
      <c r="E57" t="str">
        <f aca="1">INDEX('[1]Data Export (2)'!$A:$K,MATCH(A57,'[1]Data Export (2)'!$B:$B,0),11)</f>
        <v>Résultat net de l'exercice</v>
      </c>
    </row>
    <row r="58" spans="1:5">
      <c r="A58" t="s">
        <v>206</v>
      </c>
      <c r="B58" t="s">
        <v>207</v>
      </c>
      <c r="C58" t="s">
        <v>208</v>
      </c>
      <c r="D58" s="2" t="n">
        <v>137000</v>
      </c>
      <c r="E58" t="str">
        <f aca="1">INDEX('[1]Data Export (2)'!$A:$K,MATCH(A58,'[1]Data Export (2)'!$B:$B,0),11)</f>
        <v>Résultat net de l'exercice</v>
      </c>
    </row>
    <row r="59" spans="1:5">
      <c r="A59" t="s">
        <v>209</v>
      </c>
      <c r="B59" t="s">
        <v>210</v>
      </c>
      <c r="C59" t="s">
        <v>211</v>
      </c>
      <c r="D59" s="2" t="n">
        <v>138000</v>
      </c>
      <c r="E59" t="str">
        <f aca="1">INDEX('[1]Data Export (2)'!$A:$K,MATCH(A59,'[1]Data Export (2)'!$B:$B,0),11)</f>
        <v>Résultat net de l'exercice</v>
      </c>
    </row>
    <row r="60" spans="1:5">
      <c r="A60" t="s">
        <v>212</v>
      </c>
      <c r="B60" t="s">
        <v>213</v>
      </c>
      <c r="C60" t="s">
        <v>214</v>
      </c>
      <c r="D60" s="2" t="n">
        <v>138100</v>
      </c>
      <c r="E60" t="str">
        <f aca="1">INDEX('[1]Data Export (2)'!$A:$K,MATCH(A60,'[1]Data Export (2)'!$B:$B,0),11)</f>
        <v>Résultat net de l'exercice</v>
      </c>
    </row>
    <row r="61" spans="1:5">
      <c r="A61" t="s">
        <v>215</v>
      </c>
      <c r="B61" t="s">
        <v>216</v>
      </c>
      <c r="C61" t="s">
        <v>217</v>
      </c>
      <c r="D61" s="2" t="n">
        <v>138200</v>
      </c>
      <c r="E61" t="str">
        <f aca="1">INDEX('[1]Data Export (2)'!$A:$K,MATCH(A61,'[1]Data Export (2)'!$B:$B,0),11)</f>
        <v>Résultat net de l'exercice</v>
      </c>
    </row>
    <row r="62" spans="1:5">
      <c r="A62" t="s">
        <v>218</v>
      </c>
      <c r="B62" t="s">
        <v>219</v>
      </c>
      <c r="C62" t="s">
        <v>220</v>
      </c>
      <c r="D62" s="2" t="n">
        <v>138300</v>
      </c>
      <c r="E62" t="str">
        <f aca="1">INDEX('[1]Data Export (2)'!$A:$K,MATCH(A62,'[1]Data Export (2)'!$B:$B,0),11)</f>
        <v>Résultat net de l'exercice</v>
      </c>
    </row>
    <row r="63" spans="1:5">
      <c r="A63" t="s">
        <v>221</v>
      </c>
      <c r="B63" t="s">
        <v>222</v>
      </c>
      <c r="C63" t="s">
        <v>223</v>
      </c>
      <c r="D63" s="2" t="n">
        <v>138400</v>
      </c>
      <c r="E63" t="str">
        <f aca="1">INDEX('[1]Data Export (2)'!$A:$K,MATCH(A63,'[1]Data Export (2)'!$B:$B,0),11)</f>
        <v>Résultat net de l'exercice</v>
      </c>
    </row>
    <row r="64" spans="1:5">
      <c r="A64" t="s">
        <v>224</v>
      </c>
      <c r="B64" t="s">
        <v>225</v>
      </c>
      <c r="C64" t="s">
        <v>226</v>
      </c>
      <c r="D64" s="2" t="n">
        <v>139000</v>
      </c>
      <c r="E64" t="str">
        <f aca="1">INDEX('[1]Data Export (2)'!$A:$K,MATCH(A64,'[1]Data Export (2)'!$B:$B,0),11)</f>
        <v>Résultat net de l'exercice</v>
      </c>
    </row>
    <row r="65" spans="1:4">
      <c r="A65" t="s">
        <v>227</v>
      </c>
      <c r="B65" t="s">
        <v>228</v>
      </c>
      <c r="C65" t="s">
        <v>229</v>
      </c>
      <c r="D65" s="2" t="n">
        <v>14</v>
      </c>
    </row>
    <row r="66" spans="1:5">
      <c r="A66" t="s">
        <v>230</v>
      </c>
      <c r="B66" t="s">
        <v>231</v>
      </c>
      <c r="C66" t="s">
        <v>232</v>
      </c>
      <c r="D66" s="2" t="n">
        <v>141000</v>
      </c>
      <c r="E66" t="str">
        <f aca="1">INDEX('[1]Data Export (2)'!$A:$K,MATCH(A66,'[1]Data Export (2)'!$B:$B,0),11)</f>
        <v>Subventions d'investissement</v>
      </c>
    </row>
    <row r="67" spans="1:5">
      <c r="A67" t="s">
        <v>233</v>
      </c>
      <c r="B67" t="s">
        <v>234</v>
      </c>
      <c r="C67" t="s">
        <v>235</v>
      </c>
      <c r="D67" s="2" t="n">
        <v>141100</v>
      </c>
      <c r="E67" t="str">
        <f aca="1">INDEX('[1]Data Export (2)'!$A:$K,MATCH(A67,'[1]Data Export (2)'!$B:$B,0),11)</f>
        <v>Subventions d'investissement</v>
      </c>
    </row>
    <row r="68" spans="1:5">
      <c r="A68" t="s">
        <v>236</v>
      </c>
      <c r="B68" t="s">
        <v>237</v>
      </c>
      <c r="C68" t="s">
        <v>238</v>
      </c>
      <c r="D68" s="2" t="n">
        <v>141200</v>
      </c>
      <c r="E68" t="str">
        <f aca="1">INDEX('[1]Data Export (2)'!$A:$K,MATCH(A68,'[1]Data Export (2)'!$B:$B,0),11)</f>
        <v>Subventions d'investissement</v>
      </c>
    </row>
    <row r="69" spans="1:5">
      <c r="A69" t="s">
        <v>239</v>
      </c>
      <c r="B69" t="s">
        <v>240</v>
      </c>
      <c r="C69" t="s">
        <v>241</v>
      </c>
      <c r="D69" s="2" t="n">
        <v>141300</v>
      </c>
      <c r="E69" t="str">
        <f aca="1">INDEX('[1]Data Export (2)'!$A:$K,MATCH(A69,'[1]Data Export (2)'!$B:$B,0),11)</f>
        <v>Subventions d'investissement</v>
      </c>
    </row>
    <row r="70" spans="1:5">
      <c r="A70" t="s">
        <v>242</v>
      </c>
      <c r="B70" t="s">
        <v>243</v>
      </c>
      <c r="C70" t="s">
        <v>244</v>
      </c>
      <c r="D70" s="2" t="n">
        <v>141400</v>
      </c>
      <c r="E70" t="str">
        <f aca="1">INDEX('[1]Data Export (2)'!$A:$K,MATCH(A70,'[1]Data Export (2)'!$B:$B,0),11)</f>
        <v>Subventions d'investissement</v>
      </c>
    </row>
    <row r="71" spans="1:5">
      <c r="A71" t="s">
        <v>245</v>
      </c>
      <c r="B71" t="s">
        <v>246</v>
      </c>
      <c r="C71" t="s">
        <v>247</v>
      </c>
      <c r="D71" s="2" t="n">
        <v>141500</v>
      </c>
      <c r="E71" t="str">
        <f aca="1">INDEX('[1]Data Export (2)'!$A:$K,MATCH(A71,'[1]Data Export (2)'!$B:$B,0),11)</f>
        <v>Subventions d'investissement</v>
      </c>
    </row>
    <row r="72" spans="1:5">
      <c r="A72" t="s">
        <v>248</v>
      </c>
      <c r="B72" t="s">
        <v>249</v>
      </c>
      <c r="C72" t="s">
        <v>250</v>
      </c>
      <c r="D72" s="2" t="n">
        <v>141600</v>
      </c>
      <c r="E72" t="str">
        <f aca="1">INDEX('[1]Data Export (2)'!$A:$K,MATCH(A72,'[1]Data Export (2)'!$B:$B,0),11)</f>
        <v>Subventions d'investissement</v>
      </c>
    </row>
    <row r="73" spans="1:5">
      <c r="A73" t="s">
        <v>251</v>
      </c>
      <c r="B73" t="s">
        <v>252</v>
      </c>
      <c r="C73" t="s">
        <v>253</v>
      </c>
      <c r="D73" s="2" t="n">
        <v>141700</v>
      </c>
      <c r="E73" t="str">
        <f aca="1">INDEX('[1]Data Export (2)'!$A:$K,MATCH(A73,'[1]Data Export (2)'!$B:$B,0),11)</f>
        <v>Subventions d'investissement</v>
      </c>
    </row>
    <row r="74" spans="1:5">
      <c r="A74" t="s">
        <v>254</v>
      </c>
      <c r="B74" t="s">
        <v>255</v>
      </c>
      <c r="C74" t="s">
        <v>256</v>
      </c>
      <c r="D74" s="2" t="n">
        <v>141800</v>
      </c>
      <c r="E74" t="str">
        <f aca="1">INDEX('[1]Data Export (2)'!$A:$K,MATCH(A74,'[1]Data Export (2)'!$B:$B,0),11)</f>
        <v>Subventions d'investissement</v>
      </c>
    </row>
    <row r="75" spans="1:5">
      <c r="A75" t="s">
        <v>257</v>
      </c>
      <c r="B75" t="s">
        <v>258</v>
      </c>
      <c r="C75" t="s">
        <v>259</v>
      </c>
      <c r="D75" s="2" t="n">
        <v>148000</v>
      </c>
      <c r="E75" t="str">
        <f aca="1">INDEX('[1]Data Export (2)'!$A:$K,MATCH(A75,'[1]Data Export (2)'!$B:$B,0),11)</f>
        <v>Subventions d'investissement</v>
      </c>
    </row>
    <row r="76" spans="1:4">
      <c r="A76" t="s">
        <v>260</v>
      </c>
      <c r="B76" t="s">
        <v>261</v>
      </c>
      <c r="C76" t="s">
        <v>262</v>
      </c>
      <c r="D76" s="2" t="n">
        <v>15</v>
      </c>
    </row>
    <row r="77" spans="1:5">
      <c r="A77" t="s">
        <v>263</v>
      </c>
      <c r="B77" t="s">
        <v>264</v>
      </c>
      <c r="C77" t="s">
        <v>265</v>
      </c>
      <c r="D77" s="2" t="n">
        <v>151000</v>
      </c>
      <c r="E77" t="str">
        <f aca="1">INDEX('[1]Data Export (2)'!$A:$K,MATCH(A77,'[1]Data Export (2)'!$B:$B,0),11)</f>
        <v>Provisions réglementées </v>
      </c>
    </row>
    <row r="78" spans="1:5">
      <c r="A78" t="s">
        <v>266</v>
      </c>
      <c r="B78" t="s">
        <v>267</v>
      </c>
      <c r="C78" t="s">
        <v>268</v>
      </c>
      <c r="D78" s="2" t="n">
        <v>152000</v>
      </c>
      <c r="E78" t="str">
        <f aca="1">INDEX('[1]Data Export (2)'!$A:$K,MATCH(D78,'[1]Data Export (2)'!$F:$F,0),11)</f>
        <v>Provisions réglementées </v>
      </c>
    </row>
    <row r="79" spans="1:5">
      <c r="A79" t="s">
        <v>269</v>
      </c>
      <c r="B79" t="s">
        <v>270</v>
      </c>
      <c r="C79" t="s">
        <v>271</v>
      </c>
      <c r="D79" s="2" t="n">
        <v>153000</v>
      </c>
      <c r="E79" t="str">
        <f aca="1">INDEX('[1]Data Export (2)'!$A:$K,MATCH(A79,'[1]Data Export (2)'!$B:$B,0),11)</f>
        <v>Provisions réglementées </v>
      </c>
    </row>
    <row r="80" spans="1:5">
      <c r="A80" t="s">
        <v>272</v>
      </c>
      <c r="B80" t="s">
        <v>273</v>
      </c>
      <c r="C80" t="s">
        <v>274</v>
      </c>
      <c r="D80" s="2" t="n">
        <v>153100</v>
      </c>
      <c r="E80" t="str">
        <f aca="1">INDEX('[1]Data Export (2)'!$A:$K,MATCH(A80,'[1]Data Export (2)'!$B:$B,0),11)</f>
        <v>Provisions réglementées </v>
      </c>
    </row>
    <row r="81" spans="1:5">
      <c r="A81" t="s">
        <v>275</v>
      </c>
      <c r="B81" t="s">
        <v>276</v>
      </c>
      <c r="C81" t="s">
        <v>277</v>
      </c>
      <c r="D81" s="2" t="n">
        <v>153200</v>
      </c>
      <c r="E81" t="str">
        <f aca="1">INDEX('[1]Data Export (2)'!$A:$K,MATCH(A81,'[1]Data Export (2)'!$B:$B,0),11)</f>
        <v>Provisions réglementées </v>
      </c>
    </row>
    <row r="82" spans="1:5">
      <c r="A82" t="s">
        <v>278</v>
      </c>
      <c r="B82" t="s">
        <v>279</v>
      </c>
      <c r="C82" t="s">
        <v>280</v>
      </c>
      <c r="D82" s="2" t="n">
        <v>154000</v>
      </c>
      <c r="E82" t="str">
        <f aca="1">INDEX('[1]Data Export (2)'!$A:$K,MATCH(A82,'[1]Data Export (2)'!$B:$B,0),11)</f>
        <v>Provisions réglementées </v>
      </c>
    </row>
    <row r="83" spans="1:5">
      <c r="A83" t="s">
        <v>281</v>
      </c>
      <c r="B83" t="s">
        <v>282</v>
      </c>
      <c r="C83" t="s">
        <v>283</v>
      </c>
      <c r="D83" s="2" t="n">
        <v>155000</v>
      </c>
      <c r="E83" t="str">
        <f aca="1">INDEX('[1]Data Export (2)'!$A:$K,MATCH(A83,'[1]Data Export (2)'!$B:$B,0),11)</f>
        <v>Provisions réglementées </v>
      </c>
    </row>
    <row r="84" spans="1:5">
      <c r="A84" t="s">
        <v>284</v>
      </c>
      <c r="B84" t="s">
        <v>285</v>
      </c>
      <c r="C84" t="s">
        <v>286</v>
      </c>
      <c r="D84" s="2" t="n">
        <v>155100</v>
      </c>
      <c r="E84" t="str">
        <f aca="1">INDEX('[1]Data Export (2)'!$A:$K,MATCH(A84,'[1]Data Export (2)'!$B:$B,0),11)</f>
        <v>Provisions réglementées </v>
      </c>
    </row>
    <row r="85" spans="1:5">
      <c r="A85" t="s">
        <v>287</v>
      </c>
      <c r="B85" t="s">
        <v>288</v>
      </c>
      <c r="C85" t="s">
        <v>289</v>
      </c>
      <c r="D85" s="2" t="n">
        <v>156000</v>
      </c>
      <c r="E85" t="str">
        <f aca="1">INDEX('[1]Data Export (2)'!$A:$K,MATCH(A85,'[1]Data Export (2)'!$B:$B,0),11)</f>
        <v>Provisions réglementées </v>
      </c>
    </row>
    <row r="86" spans="1:5">
      <c r="A86" t="s">
        <v>290</v>
      </c>
      <c r="B86" t="s">
        <v>291</v>
      </c>
      <c r="C86" t="s">
        <v>292</v>
      </c>
      <c r="D86" s="2" t="n">
        <v>156100</v>
      </c>
      <c r="E86" t="str">
        <f aca="1">INDEX('[1]Data Export (2)'!$A:$K,MATCH(A86,'[1]Data Export (2)'!$B:$B,0),11)</f>
        <v>Provisions réglementées </v>
      </c>
    </row>
    <row r="87" spans="1:5">
      <c r="A87" t="s">
        <v>293</v>
      </c>
      <c r="B87" t="s">
        <v>294</v>
      </c>
      <c r="C87" t="s">
        <v>295</v>
      </c>
      <c r="D87" s="2" t="n">
        <v>156200</v>
      </c>
      <c r="E87" t="str">
        <f aca="1">INDEX('[1]Data Export (2)'!$A:$K,MATCH(A87,'[1]Data Export (2)'!$B:$B,0),11)</f>
        <v>Provisions réglementées </v>
      </c>
    </row>
    <row r="88" spans="1:5">
      <c r="A88" t="s">
        <v>296</v>
      </c>
      <c r="B88" t="s">
        <v>297</v>
      </c>
      <c r="C88" t="s">
        <v>298</v>
      </c>
      <c r="D88" s="2" t="n">
        <v>157000</v>
      </c>
      <c r="E88" t="str">
        <f aca="1">INDEX('[1]Data Export (2)'!$A:$K,MATCH(A88,'[1]Data Export (2)'!$B:$B,0),11)</f>
        <v>Provisions réglementées </v>
      </c>
    </row>
    <row r="89" spans="1:5">
      <c r="A89" t="s">
        <v>299</v>
      </c>
      <c r="B89" t="s">
        <v>300</v>
      </c>
      <c r="C89" t="s">
        <v>301</v>
      </c>
      <c r="D89" s="2" t="n">
        <v>158000</v>
      </c>
      <c r="E89" t="str">
        <f aca="1">INDEX('[1]Data Export (2)'!$A:$K,MATCH(A89,'[1]Data Export (2)'!$B:$B,0),11)</f>
        <v>Provisions réglementées </v>
      </c>
    </row>
    <row r="90" spans="1:4">
      <c r="A90" t="s">
        <v>302</v>
      </c>
      <c r="B90" t="s">
        <v>303</v>
      </c>
      <c r="C90" t="s">
        <v>304</v>
      </c>
      <c r="D90" s="2" t="n">
        <v>16</v>
      </c>
    </row>
    <row r="91" spans="1:5">
      <c r="A91" t="s">
        <v>305</v>
      </c>
      <c r="B91" t="s">
        <v>306</v>
      </c>
      <c r="C91" t="s">
        <v>307</v>
      </c>
      <c r="D91" s="2" t="n">
        <v>161000</v>
      </c>
      <c r="E91" t="str">
        <f aca="1">INDEX('[1]Data Export (2)'!$A:$K,MATCH(A91,'[1]Data Export (2)'!$B:$B,0),11)</f>
        <v>Emprunts et dettes financières diverses</v>
      </c>
    </row>
    <row r="92" spans="1:5">
      <c r="A92" t="s">
        <v>308</v>
      </c>
      <c r="B92" t="s">
        <v>309</v>
      </c>
      <c r="C92" t="s">
        <v>310</v>
      </c>
      <c r="D92" s="2" t="n">
        <v>161100</v>
      </c>
      <c r="E92" t="str">
        <f aca="1">INDEX('[1]Data Export (2)'!$A:$K,MATCH(A92,'[1]Data Export (2)'!$B:$B,0),11)</f>
        <v>Emprunts et dettes financières diverses</v>
      </c>
    </row>
    <row r="93" spans="1:5">
      <c r="A93" t="s">
        <v>311</v>
      </c>
      <c r="B93" t="s">
        <v>312</v>
      </c>
      <c r="C93" t="s">
        <v>313</v>
      </c>
      <c r="D93" s="2" t="n">
        <v>161200</v>
      </c>
      <c r="E93" t="str">
        <f aca="1">INDEX('[1]Data Export (2)'!$A:$K,MATCH(A93,'[1]Data Export (2)'!$B:$B,0),11)</f>
        <v>Emprunts et dettes financières diverses</v>
      </c>
    </row>
    <row r="94" spans="1:5">
      <c r="A94" t="s">
        <v>314</v>
      </c>
      <c r="B94" t="s">
        <v>315</v>
      </c>
      <c r="C94" t="s">
        <v>316</v>
      </c>
      <c r="D94" s="2" t="n">
        <v>161300</v>
      </c>
      <c r="E94" t="str">
        <f aca="1">INDEX('[1]Data Export (2)'!$A:$K,MATCH(A94,'[1]Data Export (2)'!$B:$B,0),11)</f>
        <v>Emprunts et dettes financières diverses</v>
      </c>
    </row>
    <row r="95" spans="1:5">
      <c r="A95" t="s">
        <v>317</v>
      </c>
      <c r="B95" t="s">
        <v>318</v>
      </c>
      <c r="C95" t="s">
        <v>319</v>
      </c>
      <c r="D95" s="2" t="n">
        <v>161800</v>
      </c>
      <c r="E95" t="str">
        <f aca="1">INDEX('[1]Data Export (2)'!$A:$K,MATCH(A95,'[1]Data Export (2)'!$B:$B,0),11)</f>
        <v>Emprunts et dettes financières diverses</v>
      </c>
    </row>
    <row r="96" spans="1:5">
      <c r="A96" t="s">
        <v>320</v>
      </c>
      <c r="B96" t="s">
        <v>321</v>
      </c>
      <c r="C96" t="s">
        <v>322</v>
      </c>
      <c r="D96" s="2" t="n">
        <v>162000</v>
      </c>
      <c r="E96" t="str">
        <f aca="1">INDEX('[1]Data Export (2)'!$A:$K,MATCH(A96,'[1]Data Export (2)'!$B:$B,0),11)</f>
        <v>Emprunts et dettes financières diverses</v>
      </c>
    </row>
    <row r="97" spans="1:5">
      <c r="A97" t="s">
        <v>323</v>
      </c>
      <c r="B97" t="s">
        <v>324</v>
      </c>
      <c r="C97" t="s">
        <v>325</v>
      </c>
      <c r="D97" s="2" t="n">
        <v>163000</v>
      </c>
      <c r="E97" t="str">
        <f aca="1">INDEX('[1]Data Export (2)'!$A:$K,MATCH(A97,'[1]Data Export (2)'!$B:$B,0),11)</f>
        <v>Emprunts et dettes financières diverses</v>
      </c>
    </row>
    <row r="98" spans="1:5">
      <c r="A98" t="s">
        <v>326</v>
      </c>
      <c r="B98" t="s">
        <v>327</v>
      </c>
      <c r="C98" t="s">
        <v>328</v>
      </c>
      <c r="D98" s="2" t="n">
        <v>164000</v>
      </c>
      <c r="E98" t="str">
        <f aca="1">INDEX('[1]Data Export (2)'!$A:$K,MATCH(A98,'[1]Data Export (2)'!$B:$B,0),11)</f>
        <v>Emprunts et dettes financières diverses</v>
      </c>
    </row>
    <row r="99" spans="1:5">
      <c r="A99" t="s">
        <v>329</v>
      </c>
      <c r="B99" t="s">
        <v>330</v>
      </c>
      <c r="C99" t="s">
        <v>331</v>
      </c>
      <c r="D99" s="2" t="n">
        <v>165000</v>
      </c>
      <c r="E99" t="str">
        <f aca="1">INDEX('[1]Data Export (2)'!$A:$K,MATCH(A99,'[1]Data Export (2)'!$B:$B,0),11)</f>
        <v>Emprunts et dettes financières diverses</v>
      </c>
    </row>
    <row r="100" spans="1:5">
      <c r="A100" t="s">
        <v>332</v>
      </c>
      <c r="B100" t="s">
        <v>333</v>
      </c>
      <c r="C100" t="s">
        <v>334</v>
      </c>
      <c r="D100" s="2" t="n">
        <v>165100</v>
      </c>
      <c r="E100" t="str">
        <f aca="1">INDEX('[1]Data Export (2)'!$A:$K,MATCH(A100,'[1]Data Export (2)'!$B:$B,0),11)</f>
        <v>Emprunts et dettes financières diverses</v>
      </c>
    </row>
    <row r="101" spans="1:5">
      <c r="A101" t="s">
        <v>335</v>
      </c>
      <c r="B101" t="s">
        <v>336</v>
      </c>
      <c r="C101" t="s">
        <v>337</v>
      </c>
      <c r="D101" s="2" t="n">
        <v>165200</v>
      </c>
      <c r="E101" t="str">
        <f aca="1">INDEX('[1]Data Export (2)'!$A:$K,MATCH(A101,'[1]Data Export (2)'!$B:$B,0),11)</f>
        <v>Emprunts et dettes financières diverses</v>
      </c>
    </row>
    <row r="102" spans="1:5">
      <c r="A102" t="s">
        <v>338</v>
      </c>
      <c r="B102" t="s">
        <v>339</v>
      </c>
      <c r="C102" t="s">
        <v>340</v>
      </c>
      <c r="D102" s="2" t="n">
        <v>166000</v>
      </c>
      <c r="E102" t="str">
        <f aca="1">INDEX('[1]Data Export (2)'!$A:$K,MATCH(A102,'[1]Data Export (2)'!$B:$B,0),11)</f>
        <v>Emprunts et dettes financières diverses</v>
      </c>
    </row>
    <row r="103" spans="1:5">
      <c r="A103" t="s">
        <v>341</v>
      </c>
      <c r="B103" t="s">
        <v>342</v>
      </c>
      <c r="C103" t="s">
        <v>343</v>
      </c>
      <c r="D103" s="2" t="n">
        <v>166100</v>
      </c>
      <c r="E103" t="str">
        <f aca="1">INDEX('[1]Data Export (2)'!$A:$K,MATCH(A103,'[1]Data Export (2)'!$B:$B,0),11)</f>
        <v>Emprunts et dettes financières diverses</v>
      </c>
    </row>
    <row r="104" spans="1:5">
      <c r="A104" t="s">
        <v>344</v>
      </c>
      <c r="B104" t="s">
        <v>345</v>
      </c>
      <c r="C104" t="s">
        <v>346</v>
      </c>
      <c r="D104" s="2" t="n">
        <v>166200</v>
      </c>
      <c r="E104" t="str">
        <f aca="1">INDEX('[1]Data Export (2)'!$A:$K,MATCH(A104,'[1]Data Export (2)'!$B:$B,0),11)</f>
        <v>Emprunts et dettes financières diverses</v>
      </c>
    </row>
    <row r="105" spans="1:5">
      <c r="A105" t="s">
        <v>347</v>
      </c>
      <c r="B105" t="s">
        <v>348</v>
      </c>
      <c r="C105" t="s">
        <v>349</v>
      </c>
      <c r="D105" s="2" t="n">
        <v>166300</v>
      </c>
      <c r="E105" t="str">
        <f aca="1">INDEX('[1]Data Export (2)'!$A:$K,MATCH(A105,'[1]Data Export (2)'!$B:$B,0),11)</f>
        <v>Emprunts et dettes financières diverses</v>
      </c>
    </row>
    <row r="106" spans="1:5">
      <c r="A106" t="s">
        <v>350</v>
      </c>
      <c r="B106" t="s">
        <v>351</v>
      </c>
      <c r="C106" t="s">
        <v>352</v>
      </c>
      <c r="D106" s="2" t="n">
        <v>166400</v>
      </c>
      <c r="E106" t="str">
        <f aca="1">INDEX('[1]Data Export (2)'!$A:$K,MATCH(A106,'[1]Data Export (2)'!$B:$B,0),11)</f>
        <v>Emprunts et dettes financières diverses</v>
      </c>
    </row>
    <row r="107" spans="1:5">
      <c r="A107" t="s">
        <v>353</v>
      </c>
      <c r="B107" t="s">
        <v>354</v>
      </c>
      <c r="C107" t="s">
        <v>355</v>
      </c>
      <c r="D107" s="2" t="n">
        <v>166500</v>
      </c>
      <c r="E107" t="str">
        <f aca="1">INDEX('[1]Data Export (2)'!$A:$K,MATCH(A107,'[1]Data Export (2)'!$B:$B,0),11)</f>
        <v>Emprunts et dettes financières diverses</v>
      </c>
    </row>
    <row r="108" spans="1:5">
      <c r="A108" t="s">
        <v>356</v>
      </c>
      <c r="B108" t="s">
        <v>357</v>
      </c>
      <c r="C108" t="s">
        <v>358</v>
      </c>
      <c r="D108" s="2" t="n">
        <v>166700</v>
      </c>
      <c r="E108" t="str">
        <f aca="1">INDEX('[1]Data Export (2)'!$A:$K,MATCH(A108,'[1]Data Export (2)'!$B:$B,0),11)</f>
        <v>Emprunts et dettes financières diverses</v>
      </c>
    </row>
    <row r="109" spans="1:5">
      <c r="A109" t="s">
        <v>359</v>
      </c>
      <c r="B109" t="s">
        <v>360</v>
      </c>
      <c r="C109" t="s">
        <v>361</v>
      </c>
      <c r="D109" s="2" t="n">
        <v>166800</v>
      </c>
      <c r="E109" t="str">
        <f aca="1">INDEX('[1]Data Export (2)'!$A:$K,MATCH(A109,'[1]Data Export (2)'!$B:$B,0),11)</f>
        <v>Emprunts et dettes financières diverses</v>
      </c>
    </row>
    <row r="110" spans="1:5">
      <c r="A110" t="s">
        <v>362</v>
      </c>
      <c r="B110" t="s">
        <v>363</v>
      </c>
      <c r="C110" t="s">
        <v>364</v>
      </c>
      <c r="D110" s="2" t="n">
        <v>167000</v>
      </c>
      <c r="E110" t="str">
        <f aca="1">INDEX('[1]Data Export (2)'!$A:$K,MATCH(A110,'[1]Data Export (2)'!$B:$B,0),11)</f>
        <v>Emprunts et dettes financières diverses</v>
      </c>
    </row>
    <row r="111" spans="1:5">
      <c r="A111" t="s">
        <v>365</v>
      </c>
      <c r="B111" t="s">
        <v>366</v>
      </c>
      <c r="C111" t="s">
        <v>367</v>
      </c>
      <c r="D111" s="2" t="n">
        <v>167100</v>
      </c>
      <c r="E111" t="str">
        <f aca="1">INDEX('[1]Data Export (2)'!$A:$K,MATCH(A111,'[1]Data Export (2)'!$B:$B,0),11)</f>
        <v>Emprunts et dettes financières diverses</v>
      </c>
    </row>
    <row r="112" spans="1:5">
      <c r="A112" t="s">
        <v>368</v>
      </c>
      <c r="B112" t="s">
        <v>369</v>
      </c>
      <c r="C112" t="s">
        <v>370</v>
      </c>
      <c r="D112" s="2" t="n">
        <v>167200</v>
      </c>
      <c r="E112" t="str">
        <f aca="1">INDEX('[1]Data Export (2)'!$A:$K,MATCH(A112,'[1]Data Export (2)'!$B:$B,0),11)</f>
        <v>Emprunts et dettes financières diverses</v>
      </c>
    </row>
    <row r="113" spans="1:5">
      <c r="A113" t="s">
        <v>371</v>
      </c>
      <c r="B113" t="s">
        <v>372</v>
      </c>
      <c r="C113" t="s">
        <v>373</v>
      </c>
      <c r="D113" s="2" t="n">
        <v>167300</v>
      </c>
      <c r="E113" t="str">
        <f aca="1">INDEX('[1]Data Export (2)'!$A:$K,MATCH(A113,'[1]Data Export (2)'!$B:$B,0),11)</f>
        <v>Emprunts et dettes financières diverses</v>
      </c>
    </row>
    <row r="114" spans="1:5">
      <c r="A114" t="s">
        <v>374</v>
      </c>
      <c r="B114" t="s">
        <v>375</v>
      </c>
      <c r="C114" t="s">
        <v>376</v>
      </c>
      <c r="D114" s="2" t="n">
        <v>167400</v>
      </c>
      <c r="E114" t="str">
        <f aca="1">INDEX('[1]Data Export (2)'!$A:$K,MATCH(A114,'[1]Data Export (2)'!$B:$B,0),11)</f>
        <v>Emprunts et dettes financières diverses</v>
      </c>
    </row>
    <row r="115" spans="1:5">
      <c r="A115" t="s">
        <v>377</v>
      </c>
      <c r="B115" t="s">
        <v>378</v>
      </c>
      <c r="C115" t="s">
        <v>379</v>
      </c>
      <c r="D115" s="2" t="n">
        <v>168000</v>
      </c>
      <c r="E115" t="str">
        <f aca="1">INDEX('[1]Data Export (2)'!$A:$K,MATCH(A115,'[1]Data Export (2)'!$B:$B,0),11)</f>
        <v>Emprunts et dettes financières diverses</v>
      </c>
    </row>
    <row r="116" spans="1:5">
      <c r="A116" t="s">
        <v>380</v>
      </c>
      <c r="B116" t="s">
        <v>381</v>
      </c>
      <c r="C116" t="s">
        <v>382</v>
      </c>
      <c r="D116" s="2" t="n">
        <v>168100</v>
      </c>
      <c r="E116" t="str">
        <f aca="1">INDEX('[1]Data Export (2)'!$A:$K,MATCH(A116,'[1]Data Export (2)'!$B:$B,0),11)</f>
        <v>Emprunts et dettes financières diverses</v>
      </c>
    </row>
    <row r="117" spans="1:5">
      <c r="A117" t="s">
        <v>383</v>
      </c>
      <c r="B117" t="s">
        <v>384</v>
      </c>
      <c r="C117" t="s">
        <v>385</v>
      </c>
      <c r="D117" s="2" t="n">
        <v>168200</v>
      </c>
      <c r="E117" t="str">
        <f aca="1">INDEX('[1]Data Export (2)'!$A:$K,MATCH(A117,'[1]Data Export (2)'!$B:$B,0),11)</f>
        <v>Emprunts et dettes financières diverses</v>
      </c>
    </row>
    <row r="118" spans="1:5">
      <c r="A118" t="s">
        <v>386</v>
      </c>
      <c r="B118" t="s">
        <v>387</v>
      </c>
      <c r="C118" t="s">
        <v>388</v>
      </c>
      <c r="D118" s="2" t="n">
        <v>168300</v>
      </c>
      <c r="E118" t="str">
        <f aca="1">INDEX('[1]Data Export (2)'!$A:$K,MATCH(A118,'[1]Data Export (2)'!$B:$B,0),11)</f>
        <v>Emprunts et dettes financières diverses</v>
      </c>
    </row>
    <row r="119" spans="1:5">
      <c r="A119" t="s">
        <v>389</v>
      </c>
      <c r="B119" t="s">
        <v>390</v>
      </c>
      <c r="C119" t="s">
        <v>391</v>
      </c>
      <c r="D119" s="2" t="n">
        <v>168400</v>
      </c>
      <c r="E119" t="str">
        <f aca="1">INDEX('[1]Data Export (2)'!$A:$K,MATCH(A119,'[1]Data Export (2)'!$B:$B,0),11)</f>
        <v>Emprunts et dettes financières diverses</v>
      </c>
    </row>
    <row r="120" spans="1:5">
      <c r="A120" t="s">
        <v>392</v>
      </c>
      <c r="B120" t="s">
        <v>393</v>
      </c>
      <c r="C120" t="s">
        <v>394</v>
      </c>
      <c r="D120" s="2" t="n">
        <v>168500</v>
      </c>
      <c r="E120" t="str">
        <f aca="1">INDEX('[1]Data Export (2)'!$A:$K,MATCH(A120,'[1]Data Export (2)'!$B:$B,0),11)</f>
        <v>Emprunts et dettes financières diverses</v>
      </c>
    </row>
    <row r="121" spans="1:5">
      <c r="A121" t="s">
        <v>395</v>
      </c>
      <c r="B121" t="s">
        <v>396</v>
      </c>
      <c r="C121" t="s">
        <v>397</v>
      </c>
      <c r="D121" s="2" t="n">
        <v>168600</v>
      </c>
      <c r="E121" t="str">
        <f aca="1">INDEX('[1]Data Export (2)'!$A:$K,MATCH(A121,'[1]Data Export (2)'!$B:$B,0),11)</f>
        <v>Emprunts et dettes financières diverses</v>
      </c>
    </row>
    <row r="122" spans="1:4">
      <c r="A122" t="s">
        <v>398</v>
      </c>
      <c r="B122" t="s">
        <v>399</v>
      </c>
      <c r="C122" t="s">
        <v>400</v>
      </c>
      <c r="D122" s="2" t="n">
        <v>17</v>
      </c>
    </row>
    <row r="123" spans="1:5">
      <c r="A123" t="s">
        <v>401</v>
      </c>
      <c r="B123" t="s">
        <v>402</v>
      </c>
      <c r="C123" t="s">
        <v>403</v>
      </c>
      <c r="D123" s="2" t="n">
        <v>172000</v>
      </c>
      <c r="E123" t="str">
        <f aca="1">INDEX('[1]Data Export (2)'!$A:$K,MATCH(A123,'[1]Data Export (2)'!$B:$B,0),11)</f>
        <v>Dettes de location acquisition</v>
      </c>
    </row>
    <row r="124" spans="1:5">
      <c r="A124" t="s">
        <v>404</v>
      </c>
      <c r="B124" t="s">
        <v>405</v>
      </c>
      <c r="C124" t="s">
        <v>406</v>
      </c>
      <c r="D124" s="2" t="n">
        <v>173000</v>
      </c>
      <c r="E124" t="str">
        <f aca="1">INDEX('[1]Data Export (2)'!$A:$K,MATCH(A124,'[1]Data Export (2)'!$B:$B,0),11)</f>
        <v>Dettes de location acquisition</v>
      </c>
    </row>
    <row r="125" spans="1:5">
      <c r="A125" t="s">
        <v>407</v>
      </c>
      <c r="B125" t="s">
        <v>408</v>
      </c>
      <c r="C125" t="s">
        <v>409</v>
      </c>
      <c r="D125" s="2" t="n">
        <v>174000</v>
      </c>
      <c r="E125" t="str">
        <f aca="1">INDEX('[1]Data Export (2)'!$A:$K,MATCH(A125,'[1]Data Export (2)'!$B:$B,0),11)</f>
        <v>Dettes de location acquisition</v>
      </c>
    </row>
    <row r="126" spans="1:5">
      <c r="A126" t="s">
        <v>410</v>
      </c>
      <c r="B126" t="s">
        <v>411</v>
      </c>
      <c r="C126" t="s">
        <v>412</v>
      </c>
      <c r="D126" s="2" t="n">
        <v>176000</v>
      </c>
      <c r="E126" t="str">
        <f aca="1">INDEX('[1]Data Export (2)'!$A:$K,MATCH(A126,'[1]Data Export (2)'!$B:$B,0),11)</f>
        <v>Dettes de location acquisition</v>
      </c>
    </row>
    <row r="127" spans="1:5">
      <c r="A127" t="s">
        <v>413</v>
      </c>
      <c r="B127" t="s">
        <v>414</v>
      </c>
      <c r="C127" t="s">
        <v>415</v>
      </c>
      <c r="D127" s="2" t="n">
        <v>176200</v>
      </c>
      <c r="E127" t="str">
        <f aca="1">INDEX('[1]Data Export (2)'!$A:$K,MATCH(D127,'[1]Data Export (2)'!$F:$F,0),11)</f>
        <v>Dettes de location acquisition</v>
      </c>
    </row>
    <row r="128" spans="1:5">
      <c r="A128" t="s">
        <v>416</v>
      </c>
      <c r="B128" t="s">
        <v>417</v>
      </c>
      <c r="C128" t="s">
        <v>418</v>
      </c>
      <c r="D128" s="2" t="n">
        <v>176300</v>
      </c>
      <c r="E128" t="str">
        <f aca="1">INDEX('[1]Data Export (2)'!$A:$K,MATCH(D128,'[1]Data Export (2)'!$F:$F,0),11)</f>
        <v>Dettes de location acquisition</v>
      </c>
    </row>
    <row r="129" spans="1:5">
      <c r="A129" t="s">
        <v>419</v>
      </c>
      <c r="B129" t="s">
        <v>420</v>
      </c>
      <c r="C129" t="s">
        <v>421</v>
      </c>
      <c r="D129" s="2" t="n">
        <v>176400</v>
      </c>
      <c r="E129" t="str">
        <f aca="1">INDEX('[1]Data Export (2)'!$A:$K,MATCH(D129,'[1]Data Export (2)'!$F:$F,0),11)</f>
        <v>Dettes de location acquisition</v>
      </c>
    </row>
    <row r="130" spans="1:5">
      <c r="A130" t="s">
        <v>422</v>
      </c>
      <c r="B130" t="s">
        <v>423</v>
      </c>
      <c r="C130" t="s">
        <v>424</v>
      </c>
      <c r="D130" s="2" t="n">
        <v>176800</v>
      </c>
      <c r="E130" t="str">
        <f aca="1">INDEX('[1]Data Export (2)'!$A:$K,MATCH(A130,'[1]Data Export (2)'!$B:$B,0),11)</f>
        <v>Dettes de location acquisition</v>
      </c>
    </row>
    <row r="131" spans="1:5">
      <c r="A131" t="s">
        <v>425</v>
      </c>
      <c r="B131" t="s">
        <v>426</v>
      </c>
      <c r="C131" t="s">
        <v>427</v>
      </c>
      <c r="D131" s="2" t="n">
        <v>178000</v>
      </c>
      <c r="E131" t="str">
        <f aca="1">INDEX('[1]Data Export (2)'!$A:$K,MATCH(A131,'[1]Data Export (2)'!$B:$B,0),11)</f>
        <v>Dettes de location acquisition</v>
      </c>
    </row>
    <row r="132" spans="1:4">
      <c r="A132" t="s">
        <v>428</v>
      </c>
      <c r="B132" t="s">
        <v>429</v>
      </c>
      <c r="C132" t="s">
        <v>430</v>
      </c>
      <c r="D132" s="2" t="n">
        <v>18</v>
      </c>
    </row>
    <row r="133" spans="1:5">
      <c r="A133" t="s">
        <v>431</v>
      </c>
      <c r="B133" t="s">
        <v>432</v>
      </c>
      <c r="C133" t="s">
        <v>433</v>
      </c>
      <c r="D133" s="2" t="n">
        <v>181000</v>
      </c>
      <c r="E133" t="str">
        <f aca="1">INDEX('[1]Data Export (2)'!$A:$K,MATCH(A133,'[1]Data Export (2)'!$B:$B,0),11)</f>
        <v>Dettes de location acquisition</v>
      </c>
    </row>
    <row r="134" spans="1:5">
      <c r="A134" t="s">
        <v>434</v>
      </c>
      <c r="B134" t="s">
        <v>435</v>
      </c>
      <c r="C134" t="s">
        <v>436</v>
      </c>
      <c r="D134" s="2" t="n">
        <v>181100</v>
      </c>
      <c r="E134" t="str">
        <f aca="1">INDEX('[1]Data Export (2)'!$A:$K,MATCH(A134,'[1]Data Export (2)'!$B:$B,0),11)</f>
        <v>Dettes de location acquisition</v>
      </c>
    </row>
    <row r="135" spans="1:5">
      <c r="A135" t="s">
        <v>437</v>
      </c>
      <c r="B135" t="s">
        <v>438</v>
      </c>
      <c r="C135" t="s">
        <v>439</v>
      </c>
      <c r="D135" s="2" t="n">
        <v>181200</v>
      </c>
      <c r="E135" t="str">
        <f aca="1">INDEX('[1]Data Export (2)'!$A:$K,MATCH(A135,'[1]Data Export (2)'!$B:$B,0),11)</f>
        <v>Dettes de location acquisition</v>
      </c>
    </row>
    <row r="136" spans="1:5">
      <c r="A136" t="s">
        <v>440</v>
      </c>
      <c r="B136" t="s">
        <v>441</v>
      </c>
      <c r="C136" t="s">
        <v>442</v>
      </c>
      <c r="D136" s="2" t="n">
        <v>182000</v>
      </c>
      <c r="E136" t="str">
        <f aca="1">INDEX('[1]Data Export (2)'!$A:$K,MATCH(A136,'[1]Data Export (2)'!$B:$B,0),11)</f>
        <v>Dettes de location acquisition</v>
      </c>
    </row>
    <row r="137" spans="1:5">
      <c r="A137" t="s">
        <v>443</v>
      </c>
      <c r="B137" t="s">
        <v>444</v>
      </c>
      <c r="C137" t="s">
        <v>445</v>
      </c>
      <c r="D137" s="2" t="n">
        <v>183000</v>
      </c>
      <c r="E137" t="str">
        <f aca="1">INDEX('[1]Data Export (2)'!$A:$K,MATCH(A137,'[1]Data Export (2)'!$B:$B,0),11)</f>
        <v>Dettes de location acquisition</v>
      </c>
    </row>
    <row r="138" spans="1:5">
      <c r="A138" t="s">
        <v>446</v>
      </c>
      <c r="B138" t="s">
        <v>447</v>
      </c>
      <c r="C138" t="s">
        <v>448</v>
      </c>
      <c r="D138" s="2" t="n">
        <v>184000</v>
      </c>
      <c r="E138" t="str">
        <f aca="1">INDEX('[1]Data Export (2)'!$A:$K,MATCH(A138,'[1]Data Export (2)'!$B:$B,0),11)</f>
        <v>Dettes de location acquisition</v>
      </c>
    </row>
    <row r="139" spans="1:5">
      <c r="A139" t="s">
        <v>449</v>
      </c>
      <c r="B139" t="s">
        <v>450</v>
      </c>
      <c r="C139" t="s">
        <v>451</v>
      </c>
      <c r="D139" s="2" t="n">
        <v>185000</v>
      </c>
      <c r="E139" t="str">
        <f aca="1">INDEX('[1]Data Export (2)'!$A:$K,MATCH(A139,'[1]Data Export (2)'!$B:$B,0),11)</f>
        <v>Dettes de location acquisition</v>
      </c>
    </row>
    <row r="140" spans="1:5">
      <c r="A140" t="s">
        <v>452</v>
      </c>
      <c r="B140" t="s">
        <v>453</v>
      </c>
      <c r="C140" t="s">
        <v>454</v>
      </c>
      <c r="D140" s="2" t="n">
        <v>186000</v>
      </c>
      <c r="E140" t="str">
        <f aca="1">INDEX('[1]Data Export (2)'!$A:$K,MATCH(A140,'[1]Data Export (2)'!$B:$B,0),11)</f>
        <v>Dettes de location acquisition</v>
      </c>
    </row>
    <row r="141" spans="1:5">
      <c r="A141" t="s">
        <v>455</v>
      </c>
      <c r="B141" t="s">
        <v>456</v>
      </c>
      <c r="C141" t="s">
        <v>457</v>
      </c>
      <c r="D141" s="2" t="n">
        <v>187000</v>
      </c>
      <c r="E141" t="str">
        <f aca="1">INDEX('[1]Data Export (2)'!$A:$K,MATCH(A141,'[1]Data Export (2)'!$B:$B,0),11)</f>
        <v>Dettes de location acquisition</v>
      </c>
    </row>
    <row r="142" spans="1:5">
      <c r="A142" t="s">
        <v>458</v>
      </c>
      <c r="B142" t="s">
        <v>459</v>
      </c>
      <c r="C142" t="s">
        <v>460</v>
      </c>
      <c r="D142" s="2" t="n">
        <v>188000</v>
      </c>
      <c r="E142" t="str">
        <f aca="1">INDEX('[1]Data Export (2)'!$A:$K,MATCH(A142,'[1]Data Export (2)'!$B:$B,0),11)</f>
        <v>Dettes de location acquisition</v>
      </c>
    </row>
    <row r="143" spans="1:4">
      <c r="A143" t="s">
        <v>461</v>
      </c>
      <c r="B143" t="s">
        <v>462</v>
      </c>
      <c r="C143" t="s">
        <v>463</v>
      </c>
      <c r="D143" s="2" t="n">
        <v>19</v>
      </c>
    </row>
    <row r="144" spans="1:5">
      <c r="A144" t="s">
        <v>464</v>
      </c>
      <c r="B144" t="s">
        <v>465</v>
      </c>
      <c r="C144" t="s">
        <v>466</v>
      </c>
      <c r="D144" s="2" t="n">
        <v>191000</v>
      </c>
      <c r="E144" t="str">
        <f aca="1">INDEX('[1]Data Export (2)'!$A:$K,MATCH(A144,'[1]Data Export (2)'!$B:$B,0),11)</f>
        <v>Provisions pour risques et charges LT</v>
      </c>
    </row>
    <row r="145" spans="1:5">
      <c r="A145" t="s">
        <v>467</v>
      </c>
      <c r="B145" t="s">
        <v>468</v>
      </c>
      <c r="C145" t="s">
        <v>469</v>
      </c>
      <c r="D145" s="2" t="n">
        <v>192000</v>
      </c>
      <c r="E145" t="str">
        <f aca="1">INDEX('[1]Data Export (2)'!$A:$K,MATCH(A145,'[1]Data Export (2)'!$B:$B,0),11)</f>
        <v>Provisions pour risques et charges LT</v>
      </c>
    </row>
    <row r="146" spans="1:5">
      <c r="A146" t="s">
        <v>470</v>
      </c>
      <c r="B146" t="s">
        <v>471</v>
      </c>
      <c r="C146" t="s">
        <v>472</v>
      </c>
      <c r="D146" s="2" t="n">
        <v>193000</v>
      </c>
      <c r="E146" t="str">
        <f aca="1">INDEX('[1]Data Export (2)'!$A:$K,MATCH(A146,'[1]Data Export (2)'!$B:$B,0),11)</f>
        <v>Provisions pour risques et charges LT</v>
      </c>
    </row>
    <row r="147" spans="1:5">
      <c r="A147" t="s">
        <v>473</v>
      </c>
      <c r="B147" t="s">
        <v>474</v>
      </c>
      <c r="C147" t="s">
        <v>475</v>
      </c>
      <c r="D147" s="2" t="n">
        <v>194000</v>
      </c>
      <c r="E147" t="str">
        <f aca="1">INDEX('[1]Data Export (2)'!$A:$K,MATCH(A147,'[1]Data Export (2)'!$B:$B,0),11)</f>
        <v>Provisions pour risques et charges LT</v>
      </c>
    </row>
    <row r="148" spans="1:5">
      <c r="A148" t="s">
        <v>476</v>
      </c>
      <c r="B148" t="s">
        <v>477</v>
      </c>
      <c r="C148" t="s">
        <v>478</v>
      </c>
      <c r="D148" s="2" t="n">
        <v>195000</v>
      </c>
      <c r="E148" t="str">
        <f aca="1">INDEX('[1]Data Export (2)'!$A:$K,MATCH(A148,'[1]Data Export (2)'!$B:$B,0),11)</f>
        <v>Provisions pour risques et charges LT</v>
      </c>
    </row>
    <row r="149" spans="1:5">
      <c r="A149" t="s">
        <v>479</v>
      </c>
      <c r="B149" t="s">
        <v>480</v>
      </c>
      <c r="C149" t="s">
        <v>481</v>
      </c>
      <c r="D149" s="2" t="n">
        <v>196000</v>
      </c>
      <c r="E149" t="str">
        <f aca="1">INDEX('[1]Data Export (2)'!$A:$K,MATCH(A149,'[1]Data Export (2)'!$B:$B,0),11)</f>
        <v>Provisions pour risques et charges LT</v>
      </c>
    </row>
    <row r="150" spans="1:5">
      <c r="A150" t="s">
        <v>482</v>
      </c>
      <c r="B150" t="s">
        <v>483</v>
      </c>
      <c r="C150" t="s">
        <v>484</v>
      </c>
      <c r="D150" s="2" t="n">
        <v>196100</v>
      </c>
      <c r="E150" t="str">
        <f aca="1">INDEX('[1]Data Export (2)'!$A:$K,MATCH(A150,'[1]Data Export (2)'!$B:$B,0),11)</f>
        <v>Provisions pour risques et charges LT</v>
      </c>
    </row>
    <row r="151" spans="1:5">
      <c r="A151" t="s">
        <v>485</v>
      </c>
      <c r="B151" t="s">
        <v>486</v>
      </c>
      <c r="C151" t="s">
        <v>487</v>
      </c>
      <c r="D151" s="2" t="n">
        <v>196200</v>
      </c>
      <c r="E151" t="str">
        <f aca="1">INDEX('[1]Data Export (2)'!$A:$K,MATCH(A151,'[1]Data Export (2)'!$B:$B,0),11)</f>
        <v>Provisions pour risques et charges LT</v>
      </c>
    </row>
    <row r="152" spans="1:5">
      <c r="A152" t="s">
        <v>488</v>
      </c>
      <c r="B152" t="s">
        <v>489</v>
      </c>
      <c r="C152" t="s">
        <v>490</v>
      </c>
      <c r="D152" s="2" t="n">
        <v>197000</v>
      </c>
      <c r="E152" t="str">
        <f aca="1">INDEX('[1]Data Export (2)'!$A:$K,MATCH(A152,'[1]Data Export (2)'!$B:$B,0),11)</f>
        <v>Provisions pour risques et charges LT</v>
      </c>
    </row>
    <row r="153" spans="1:5">
      <c r="A153" t="s">
        <v>491</v>
      </c>
      <c r="B153" t="s">
        <v>492</v>
      </c>
      <c r="C153" t="s">
        <v>493</v>
      </c>
      <c r="D153" s="2" t="n">
        <v>198000</v>
      </c>
      <c r="E153" t="str">
        <f aca="1">INDEX('[1]Data Export (2)'!$A:$K,MATCH(A153,'[1]Data Export (2)'!$B:$B,0),11)</f>
        <v>Provisions pour risques et charges LT</v>
      </c>
    </row>
    <row r="154" spans="1:5">
      <c r="A154" t="s">
        <v>494</v>
      </c>
      <c r="B154" t="s">
        <v>495</v>
      </c>
      <c r="C154" t="s">
        <v>496</v>
      </c>
      <c r="D154" s="2" t="n">
        <v>198100</v>
      </c>
      <c r="E154" t="str">
        <f aca="1">INDEX('[1]Data Export (2)'!$A:$K,MATCH(A154,'[1]Data Export (2)'!$B:$B,0),11)</f>
        <v>Provisions pour risques et charges LT</v>
      </c>
    </row>
    <row r="155" spans="1:5">
      <c r="A155" t="s">
        <v>497</v>
      </c>
      <c r="B155" t="s">
        <v>498</v>
      </c>
      <c r="C155" t="s">
        <v>499</v>
      </c>
      <c r="D155" s="2" t="n">
        <v>198300</v>
      </c>
      <c r="E155" t="str">
        <f aca="1">INDEX('[1]Data Export (2)'!$A:$K,MATCH(A155,'[1]Data Export (2)'!$B:$B,0),11)</f>
        <v>Provisions pour risques et charges LT</v>
      </c>
    </row>
    <row r="156" spans="1:5">
      <c r="A156" t="s">
        <v>500</v>
      </c>
      <c r="B156" t="s">
        <v>501</v>
      </c>
      <c r="C156" t="s">
        <v>502</v>
      </c>
      <c r="D156" s="2" t="n">
        <v>198400</v>
      </c>
      <c r="E156" t="str">
        <f aca="1">INDEX('[1]Data Export (2)'!$A:$K,MATCH(A156,'[1]Data Export (2)'!$B:$B,0),11)</f>
        <v>Provisions pour risques et charges LT</v>
      </c>
    </row>
    <row r="157" spans="1:5">
      <c r="A157" t="s">
        <v>503</v>
      </c>
      <c r="B157" t="s">
        <v>504</v>
      </c>
      <c r="C157" t="s">
        <v>505</v>
      </c>
      <c r="D157" s="2" t="n">
        <v>198500</v>
      </c>
      <c r="E157" t="str">
        <f aca="1">INDEX('[1]Data Export (2)'!$A:$K,MATCH(A157,'[1]Data Export (2)'!$B:$B,0),11)</f>
        <v>Provisions pour risques et charges LT</v>
      </c>
    </row>
    <row r="158" spans="1:5">
      <c r="A158" t="s">
        <v>506</v>
      </c>
      <c r="B158" t="s">
        <v>507</v>
      </c>
      <c r="C158" t="s">
        <v>508</v>
      </c>
      <c r="D158" s="2" t="n">
        <v>198800</v>
      </c>
      <c r="E158" t="str">
        <f aca="1">INDEX('[1]Data Export (2)'!$A:$K,MATCH(A158,'[1]Data Export (2)'!$B:$B,0),11)</f>
        <v>Provisions pour risques et charges LT</v>
      </c>
    </row>
    <row r="159" spans="1:4">
      <c r="A159" t="s">
        <v>509</v>
      </c>
      <c r="B159" t="s">
        <v>510</v>
      </c>
      <c r="D159" s="2" t="n">
        <v>2</v>
      </c>
    </row>
    <row r="160" spans="1:6">
      <c r="A160" t="s">
        <v>511</v>
      </c>
      <c r="B160" t="s">
        <v>512</v>
      </c>
      <c r="C160" t="s">
        <v>513</v>
      </c>
      <c r="D160" s="2" t="n">
        <v>21</v>
      </c>
      <c r="F160" t="s">
        <v>514</v>
      </c>
    </row>
    <row r="161" spans="1:6">
      <c r="A161" t="s">
        <v>515</v>
      </c>
      <c r="B161" t="s">
        <v>516</v>
      </c>
      <c r="C161" t="s">
        <v>517</v>
      </c>
      <c r="D161" s="2" t="n">
        <v>211000</v>
      </c>
      <c r="E161" t="str">
        <f aca="1">INDEX('[1]Data Export (2)'!$A:$K,MATCH(A161,'[1]Data Export (2)'!$B:$B,0),11)</f>
        <v>Frais de recherche et de prospection</v>
      </c>
      <c r="F161" t="s">
        <v>518</v>
      </c>
    </row>
    <row r="162" spans="1:6">
      <c r="A162" t="s">
        <v>519</v>
      </c>
      <c r="B162" t="s">
        <v>520</v>
      </c>
      <c r="C162" t="s">
        <v>521</v>
      </c>
      <c r="D162" s="2" t="n">
        <v>212000</v>
      </c>
      <c r="E162" t="str">
        <f aca="1">INDEX('[1]Data Export (2)'!$A:$K,MATCH(A162,'[1]Data Export (2)'!$B:$B,0),11)</f>
        <v>Brevet, licences, logiciels et droits similaires</v>
      </c>
      <c r="F162" t="s">
        <v>522</v>
      </c>
    </row>
    <row r="163" spans="1:6">
      <c r="A163" t="s">
        <v>523</v>
      </c>
      <c r="B163" t="s">
        <v>524</v>
      </c>
      <c r="C163" t="s">
        <v>525</v>
      </c>
      <c r="D163" s="2" t="n">
        <v>212100</v>
      </c>
      <c r="E163" t="str">
        <f aca="1">INDEX('[1]Data Export (2)'!$A:$K,MATCH(A163,'[1]Data Export (2)'!$B:$B,0),11)</f>
        <v>Brevet, licences, logiciels et droits similaires</v>
      </c>
      <c r="F163" t="s">
        <v>526</v>
      </c>
    </row>
    <row r="164" spans="1:6">
      <c r="A164" t="s">
        <v>527</v>
      </c>
      <c r="B164" t="s">
        <v>528</v>
      </c>
      <c r="C164" t="s">
        <v>529</v>
      </c>
      <c r="D164" s="2" t="n">
        <v>212200</v>
      </c>
      <c r="E164" t="str">
        <f aca="1">INDEX('[1]Data Export (2)'!$A:$K,MATCH(A164,'[1]Data Export (2)'!$B:$B,0),11)</f>
        <v>Brevet, licences, logiciels et droits similaires</v>
      </c>
      <c r="F164" t="s">
        <v>530</v>
      </c>
    </row>
    <row r="165" spans="1:6">
      <c r="A165" t="s">
        <v>531</v>
      </c>
      <c r="B165" t="s">
        <v>532</v>
      </c>
      <c r="C165" t="s">
        <v>533</v>
      </c>
      <c r="D165" s="2" t="n">
        <v>212300</v>
      </c>
      <c r="E165" t="str">
        <f aca="1">INDEX('[1]Data Export (2)'!$A:$K,MATCH(A165,'[1]Data Export (2)'!$B:$B,0),11)</f>
        <v>Brevet, licences, logiciels et droits similaires</v>
      </c>
      <c r="F165" t="s">
        <v>534</v>
      </c>
    </row>
    <row r="166" spans="1:6">
      <c r="A166" t="s">
        <v>535</v>
      </c>
      <c r="B166" t="s">
        <v>536</v>
      </c>
      <c r="C166" t="s">
        <v>537</v>
      </c>
      <c r="D166" s="2" t="n">
        <v>212800</v>
      </c>
      <c r="E166" t="str">
        <f aca="1">INDEX('[1]Data Export (2)'!$A:$K,MATCH(A166,'[1]Data Export (2)'!$B:$B,0),11)</f>
        <v>Brevet, licences, logiciels et droits similaires</v>
      </c>
      <c r="F166" t="s">
        <v>538</v>
      </c>
    </row>
    <row r="167" spans="1:6">
      <c r="A167" t="s">
        <v>539</v>
      </c>
      <c r="B167" t="s">
        <v>540</v>
      </c>
      <c r="C167" t="s">
        <v>541</v>
      </c>
      <c r="D167" s="2" t="n">
        <v>213000</v>
      </c>
      <c r="E167" t="str">
        <f aca="1">INDEX('[1]Data Export (2)'!$A:$K,MATCH(A167,'[1]Data Export (2)'!$B:$B,0),11)</f>
        <v>Brevet, licences, logiciels et droits similaires</v>
      </c>
      <c r="F167" t="s">
        <v>542</v>
      </c>
    </row>
    <row r="168" spans="1:6">
      <c r="A168" t="s">
        <v>543</v>
      </c>
      <c r="B168" t="s">
        <v>544</v>
      </c>
      <c r="C168" t="s">
        <v>545</v>
      </c>
      <c r="D168" s="2" t="n">
        <v>213100</v>
      </c>
      <c r="E168" t="str">
        <f aca="1">INDEX('[1]Data Export (2)'!$A:$K,MATCH(A168,'[1]Data Export (2)'!$B:$B,0),11)</f>
        <v>Brevet, licences, logiciels et droits similaires</v>
      </c>
      <c r="F168" t="s">
        <v>546</v>
      </c>
    </row>
    <row r="169" spans="1:6">
      <c r="A169" t="s">
        <v>547</v>
      </c>
      <c r="B169" t="s">
        <v>548</v>
      </c>
      <c r="C169" t="s">
        <v>549</v>
      </c>
      <c r="D169" s="2" t="n">
        <v>213200</v>
      </c>
      <c r="E169" t="str">
        <f aca="1">INDEX('[1]Data Export (2)'!$A:$K,MATCH(A169,'[1]Data Export (2)'!$B:$B,0),11)</f>
        <v>Brevet, licences, logiciels et droits similaires</v>
      </c>
      <c r="F169" t="s">
        <v>550</v>
      </c>
    </row>
    <row r="170" spans="1:6">
      <c r="A170" t="s">
        <v>551</v>
      </c>
      <c r="B170" t="s">
        <v>552</v>
      </c>
      <c r="C170" t="s">
        <v>553</v>
      </c>
      <c r="D170" s="2" t="n">
        <v>214000</v>
      </c>
      <c r="E170" t="str">
        <f aca="1">INDEX('[1]Data Export (2)'!$A:$K,MATCH(A170,'[1]Data Export (2)'!$B:$B,0),11)</f>
        <v>Brevet, licences, logiciels et droits similaires</v>
      </c>
      <c r="F170" t="s">
        <v>554</v>
      </c>
    </row>
    <row r="171" spans="1:6">
      <c r="A171" t="s">
        <v>555</v>
      </c>
      <c r="B171" t="s">
        <v>556</v>
      </c>
      <c r="C171" t="s">
        <v>557</v>
      </c>
      <c r="D171" s="2" t="n">
        <v>215000</v>
      </c>
      <c r="E171" t="str">
        <f aca="1">INDEX('[1]Data Export (2)'!$A:$K,MATCH(A171,'[1]Data Export (2)'!$B:$B,0),11)</f>
        <v>Fonds commercial et droit au bail</v>
      </c>
      <c r="F171" t="s">
        <v>558</v>
      </c>
    </row>
    <row r="172" spans="1:6">
      <c r="A172" t="s">
        <v>559</v>
      </c>
      <c r="B172" t="s">
        <v>560</v>
      </c>
      <c r="C172" t="s">
        <v>561</v>
      </c>
      <c r="D172" s="2" t="n">
        <v>216000</v>
      </c>
      <c r="E172" t="str">
        <f aca="1">INDEX('[1]Data Export (2)'!$A:$K,MATCH(A172,'[1]Data Export (2)'!$B:$B,0),11)</f>
        <v>Fonds commercial et droit au bail</v>
      </c>
      <c r="F172" t="s">
        <v>562</v>
      </c>
    </row>
    <row r="173" spans="1:6">
      <c r="A173" t="s">
        <v>563</v>
      </c>
      <c r="B173" t="s">
        <v>564</v>
      </c>
      <c r="C173" t="s">
        <v>565</v>
      </c>
      <c r="D173" s="2" t="n">
        <v>217000</v>
      </c>
      <c r="E173" t="str">
        <f aca="1">INDEX('[1]Data Export (2)'!$A:$K,MATCH(A173,'[1]Data Export (2)'!$B:$B,0),11)</f>
        <v>Autres immobilisations incorporelles</v>
      </c>
      <c r="F173" t="s">
        <v>566</v>
      </c>
    </row>
    <row r="174" spans="1:6">
      <c r="A174" t="s">
        <v>567</v>
      </c>
      <c r="B174" t="s">
        <v>568</v>
      </c>
      <c r="C174" t="s">
        <v>569</v>
      </c>
      <c r="D174" s="2" t="n">
        <v>218000</v>
      </c>
      <c r="E174" t="str">
        <f aca="1">INDEX('[1]Data Export (2)'!$A:$K,MATCH(A174,'[1]Data Export (2)'!$B:$B,0),11)</f>
        <v>Autres immobilisations incorporelles</v>
      </c>
      <c r="F174" t="s">
        <v>570</v>
      </c>
    </row>
    <row r="175" spans="1:6">
      <c r="A175" t="s">
        <v>571</v>
      </c>
      <c r="B175" t="s">
        <v>572</v>
      </c>
      <c r="C175" t="s">
        <v>573</v>
      </c>
      <c r="D175" s="2" t="n">
        <v>218100</v>
      </c>
      <c r="E175" t="str">
        <f aca="1">INDEX('[1]Data Export (2)'!$A:$K,MATCH(A175,'[1]Data Export (2)'!$B:$B,0),11)</f>
        <v>Autres immobilisations incorporelles</v>
      </c>
      <c r="F175" t="s">
        <v>574</v>
      </c>
    </row>
    <row r="176" spans="1:6">
      <c r="A176" t="s">
        <v>575</v>
      </c>
      <c r="B176" t="s">
        <v>576</v>
      </c>
      <c r="C176" t="s">
        <v>577</v>
      </c>
      <c r="D176" s="2" t="n">
        <v>218200</v>
      </c>
      <c r="E176" t="str">
        <f aca="1">INDEX('[1]Data Export (2)'!$A:$K,MATCH(A176,'[1]Data Export (2)'!$B:$B,0),11)</f>
        <v>Autres immobilisations incorporelles</v>
      </c>
      <c r="F176" t="s">
        <v>578</v>
      </c>
    </row>
    <row r="177" spans="1:6">
      <c r="A177" t="s">
        <v>579</v>
      </c>
      <c r="B177" t="s">
        <v>580</v>
      </c>
      <c r="C177" t="s">
        <v>581</v>
      </c>
      <c r="D177" s="2" t="n">
        <v>218300</v>
      </c>
      <c r="E177" t="str">
        <f aca="1">INDEX('[1]Data Export (2)'!$A:$K,MATCH(A177,'[1]Data Export (2)'!$B:$B,0),11)</f>
        <v>Autres immobilisations incorporelles</v>
      </c>
      <c r="F177" t="s">
        <v>582</v>
      </c>
    </row>
    <row r="178" spans="1:6">
      <c r="A178" t="s">
        <v>583</v>
      </c>
      <c r="B178" t="s">
        <v>584</v>
      </c>
      <c r="C178" t="s">
        <v>585</v>
      </c>
      <c r="D178" s="2" t="n">
        <v>218400</v>
      </c>
      <c r="E178" t="str">
        <f aca="1">INDEX('[1]Data Export (2)'!$A:$K,MATCH(A178,'[1]Data Export (2)'!$B:$B,0),11)</f>
        <v>Autres immobilisations incorporelles</v>
      </c>
      <c r="F178" t="s">
        <v>586</v>
      </c>
    </row>
    <row r="179" spans="1:6">
      <c r="A179" t="s">
        <v>587</v>
      </c>
      <c r="B179" t="s">
        <v>588</v>
      </c>
      <c r="C179" t="s">
        <v>589</v>
      </c>
      <c r="D179" s="2" t="n">
        <v>218800</v>
      </c>
      <c r="E179" t="str">
        <f aca="1">INDEX('[1]Data Export (2)'!$A:$K,MATCH(A179,'[1]Data Export (2)'!$B:$B,0),11)</f>
        <v>Autres immobilisations incorporelles</v>
      </c>
      <c r="F179" t="s">
        <v>590</v>
      </c>
    </row>
    <row r="180" spans="1:6">
      <c r="A180" t="s">
        <v>591</v>
      </c>
      <c r="B180" t="s">
        <v>592</v>
      </c>
      <c r="C180" t="s">
        <v>593</v>
      </c>
      <c r="D180" s="2" t="n">
        <v>219000</v>
      </c>
      <c r="E180" t="str">
        <f aca="1">INDEX('[1]Data Export (2)'!$A:$K,MATCH(A180,'[1]Data Export (2)'!$B:$B,0),11)</f>
        <v>Autres immobilisations incorporelles</v>
      </c>
      <c r="F180" t="s">
        <v>594</v>
      </c>
    </row>
    <row r="181" spans="1:6">
      <c r="A181" t="s">
        <v>595</v>
      </c>
      <c r="B181" t="s">
        <v>596</v>
      </c>
      <c r="C181" t="s">
        <v>597</v>
      </c>
      <c r="D181" s="2" t="n">
        <v>219100</v>
      </c>
      <c r="E181" t="str">
        <f aca="1">INDEX('[1]Data Export (2)'!$A:$K,MATCH(A181,'[1]Data Export (2)'!$B:$B,0),11)</f>
        <v>Autres immobilisations incorporelles</v>
      </c>
      <c r="F181" t="s">
        <v>598</v>
      </c>
    </row>
    <row r="182" spans="1:6">
      <c r="A182" t="s">
        <v>599</v>
      </c>
      <c r="B182" t="s">
        <v>600</v>
      </c>
      <c r="C182" t="s">
        <v>601</v>
      </c>
      <c r="D182" s="2" t="n">
        <v>219300</v>
      </c>
      <c r="E182" t="str">
        <f aca="1">INDEX('[1]Data Export (2)'!$A:$K,MATCH(A182,'[1]Data Export (2)'!$B:$B,0),11)</f>
        <v>Autres immobilisations incorporelles</v>
      </c>
      <c r="F182" t="s">
        <v>602</v>
      </c>
    </row>
    <row r="183" spans="1:6">
      <c r="A183" t="s">
        <v>603</v>
      </c>
      <c r="B183" t="s">
        <v>604</v>
      </c>
      <c r="C183" t="s">
        <v>605</v>
      </c>
      <c r="D183" s="2" t="n">
        <v>219800</v>
      </c>
      <c r="E183" t="str">
        <f aca="1">INDEX('[1]Data Export (2)'!$A:$K,MATCH(A183,'[1]Data Export (2)'!$B:$B,0),11)</f>
        <v>Autres immobilisations incorporelles</v>
      </c>
      <c r="F183" t="s">
        <v>606</v>
      </c>
    </row>
    <row r="184" spans="1:6">
      <c r="A184" t="s">
        <v>607</v>
      </c>
      <c r="B184" t="s">
        <v>608</v>
      </c>
      <c r="C184" t="s">
        <v>609</v>
      </c>
      <c r="D184" s="2" t="n">
        <v>22</v>
      </c>
      <c r="F184" t="s">
        <v>610</v>
      </c>
    </row>
    <row r="185" spans="1:6">
      <c r="A185" t="s">
        <v>611</v>
      </c>
      <c r="B185" t="s">
        <v>612</v>
      </c>
      <c r="C185" t="s">
        <v>613</v>
      </c>
      <c r="D185" s="2" t="n">
        <v>221000</v>
      </c>
      <c r="E185" t="str">
        <f aca="1">INDEX('[1]Data Export (2)'!$A:$K,MATCH(A185,'[1]Data Export (2)'!$B:$B,0),11)</f>
        <v>Terrains</v>
      </c>
      <c r="F185" t="s">
        <v>614</v>
      </c>
    </row>
    <row r="186" spans="1:6">
      <c r="A186" t="s">
        <v>615</v>
      </c>
      <c r="B186" t="s">
        <v>616</v>
      </c>
      <c r="C186" t="s">
        <v>617</v>
      </c>
      <c r="D186" s="2" t="n">
        <v>221100</v>
      </c>
      <c r="E186" t="str">
        <f aca="1">INDEX('[1]Data Export (2)'!$A:$K,MATCH(A186,'[1]Data Export (2)'!$B:$B,0),11)</f>
        <v>Terrains</v>
      </c>
      <c r="F186" t="s">
        <v>618</v>
      </c>
    </row>
    <row r="187" spans="1:6">
      <c r="A187" t="s">
        <v>619</v>
      </c>
      <c r="B187" t="s">
        <v>620</v>
      </c>
      <c r="C187" t="s">
        <v>621</v>
      </c>
      <c r="D187" s="2" t="n">
        <v>221200</v>
      </c>
      <c r="E187" t="str">
        <f aca="1">INDEX('[1]Data Export (2)'!$A:$K,MATCH(A187,'[1]Data Export (2)'!$B:$B,0),11)</f>
        <v>Terrains</v>
      </c>
      <c r="F187" t="s">
        <v>622</v>
      </c>
    </row>
    <row r="188" spans="1:6">
      <c r="A188" t="s">
        <v>623</v>
      </c>
      <c r="B188" t="s">
        <v>624</v>
      </c>
      <c r="C188" t="s">
        <v>625</v>
      </c>
      <c r="D188" s="2" t="n">
        <v>221800</v>
      </c>
      <c r="E188" t="str">
        <f aca="1">INDEX('[1]Data Export (2)'!$A:$K,MATCH(A188,'[1]Data Export (2)'!$B:$B,0),11)</f>
        <v>Terrains</v>
      </c>
      <c r="F188" t="s">
        <v>626</v>
      </c>
    </row>
    <row r="189" spans="1:6">
      <c r="A189" t="s">
        <v>627</v>
      </c>
      <c r="B189" t="s">
        <v>628</v>
      </c>
      <c r="C189" t="s">
        <v>629</v>
      </c>
      <c r="D189" s="2" t="n">
        <v>222000</v>
      </c>
      <c r="E189" t="str">
        <f aca="1">INDEX('[1]Data Export (2)'!$A:$K,MATCH(A189,'[1]Data Export (2)'!$B:$B,0),11)</f>
        <v>Terrains</v>
      </c>
      <c r="F189" t="s">
        <v>630</v>
      </c>
    </row>
    <row r="190" spans="1:6">
      <c r="A190" t="s">
        <v>631</v>
      </c>
      <c r="B190" t="s">
        <v>632</v>
      </c>
      <c r="C190" t="s">
        <v>633</v>
      </c>
      <c r="D190" s="2" t="n">
        <v>222100</v>
      </c>
      <c r="E190" t="str">
        <f aca="1">INDEX('[1]Data Export (2)'!$A:$K,MATCH(A190,'[1]Data Export (2)'!$B:$B,0),11)</f>
        <v>Terrains</v>
      </c>
      <c r="F190" t="s">
        <v>634</v>
      </c>
    </row>
    <row r="191" spans="1:6">
      <c r="A191" t="s">
        <v>635</v>
      </c>
      <c r="B191" t="s">
        <v>636</v>
      </c>
      <c r="C191" t="s">
        <v>637</v>
      </c>
      <c r="D191" s="2" t="n">
        <v>222800</v>
      </c>
      <c r="E191" t="str">
        <f aca="1">INDEX('[1]Data Export (2)'!$A:$K,MATCH(A191,'[1]Data Export (2)'!$B:$B,0),11)</f>
        <v>Terrains</v>
      </c>
      <c r="F191" t="s">
        <v>638</v>
      </c>
    </row>
    <row r="192" spans="1:6">
      <c r="A192" t="s">
        <v>639</v>
      </c>
      <c r="B192" t="s">
        <v>640</v>
      </c>
      <c r="C192" t="s">
        <v>641</v>
      </c>
      <c r="D192" s="2" t="n">
        <v>223000</v>
      </c>
      <c r="E192" t="str">
        <f aca="1">INDEX('[1]Data Export (2)'!$A:$K,MATCH(A192,'[1]Data Export (2)'!$B:$B,0),11)</f>
        <v>Terrains</v>
      </c>
      <c r="F192" t="s">
        <v>642</v>
      </c>
    </row>
    <row r="193" spans="1:6">
      <c r="A193" t="s">
        <v>643</v>
      </c>
      <c r="B193" t="s">
        <v>644</v>
      </c>
      <c r="C193" t="s">
        <v>645</v>
      </c>
      <c r="D193" s="2" t="n">
        <v>223100</v>
      </c>
      <c r="E193" t="str">
        <f aca="1">INDEX('[1]Data Export (2)'!$A:$K,MATCH(A193,'[1]Data Export (2)'!$B:$B,0),11)</f>
        <v>Terrains</v>
      </c>
      <c r="F193" t="s">
        <v>646</v>
      </c>
    </row>
    <row r="194" spans="1:6">
      <c r="A194" t="s">
        <v>647</v>
      </c>
      <c r="B194" t="s">
        <v>648</v>
      </c>
      <c r="C194" t="s">
        <v>649</v>
      </c>
      <c r="D194" s="2" t="n">
        <v>223200</v>
      </c>
      <c r="E194" t="str">
        <f aca="1">INDEX('[1]Data Export (2)'!$A:$K,MATCH(A194,'[1]Data Export (2)'!$B:$B,0),11)</f>
        <v>Terrains</v>
      </c>
      <c r="F194" t="s">
        <v>650</v>
      </c>
    </row>
    <row r="195" spans="1:6">
      <c r="A195" t="s">
        <v>651</v>
      </c>
      <c r="B195" t="s">
        <v>652</v>
      </c>
      <c r="C195" t="s">
        <v>653</v>
      </c>
      <c r="D195" s="2" t="n">
        <v>223400</v>
      </c>
      <c r="E195" t="str">
        <f aca="1">INDEX('[1]Data Export (2)'!$A:$K,MATCH(A195,'[1]Data Export (2)'!$B:$B,0),11)</f>
        <v>Terrains</v>
      </c>
      <c r="F195" t="s">
        <v>654</v>
      </c>
    </row>
    <row r="196" spans="1:6">
      <c r="A196" t="s">
        <v>655</v>
      </c>
      <c r="B196" t="s">
        <v>656</v>
      </c>
      <c r="C196" t="s">
        <v>657</v>
      </c>
      <c r="D196" s="2" t="n">
        <v>223500</v>
      </c>
      <c r="E196" t="str">
        <f aca="1">INDEX('[1]Data Export (2)'!$A:$K,MATCH(A196,'[1]Data Export (2)'!$B:$B,0),11)</f>
        <v>Terrains</v>
      </c>
      <c r="F196" t="s">
        <v>658</v>
      </c>
    </row>
    <row r="197" spans="1:6">
      <c r="A197" t="s">
        <v>659</v>
      </c>
      <c r="B197" t="s">
        <v>660</v>
      </c>
      <c r="C197" t="s">
        <v>661</v>
      </c>
      <c r="D197" s="2" t="n">
        <v>223800</v>
      </c>
      <c r="E197" t="str">
        <f aca="1">INDEX('[1]Data Export (2)'!$A:$K,MATCH(A197,'[1]Data Export (2)'!$B:$B,0),11)</f>
        <v>Terrains</v>
      </c>
      <c r="F197" t="s">
        <v>662</v>
      </c>
    </row>
    <row r="198" spans="1:6">
      <c r="A198" t="s">
        <v>663</v>
      </c>
      <c r="B198" t="s">
        <v>664</v>
      </c>
      <c r="C198" t="s">
        <v>665</v>
      </c>
      <c r="D198" s="2" t="n">
        <v>224000</v>
      </c>
      <c r="E198" t="str">
        <f aca="1">INDEX('[1]Data Export (2)'!$A:$K,MATCH(A198,'[1]Data Export (2)'!$B:$B,0),11)</f>
        <v>Terrains</v>
      </c>
      <c r="F198" t="s">
        <v>666</v>
      </c>
    </row>
    <row r="199" spans="1:6">
      <c r="A199" t="s">
        <v>667</v>
      </c>
      <c r="B199" t="s">
        <v>668</v>
      </c>
      <c r="C199" t="s">
        <v>669</v>
      </c>
      <c r="D199" s="2" t="n">
        <v>224100</v>
      </c>
      <c r="E199" t="str">
        <f aca="1">INDEX('[1]Data Export (2)'!$A:$K,MATCH(A199,'[1]Data Export (2)'!$B:$B,0),11)</f>
        <v>Terrains</v>
      </c>
      <c r="F199" t="s">
        <v>670</v>
      </c>
    </row>
    <row r="200" spans="1:6">
      <c r="A200" t="s">
        <v>671</v>
      </c>
      <c r="B200" t="s">
        <v>672</v>
      </c>
      <c r="C200" t="s">
        <v>673</v>
      </c>
      <c r="D200" s="2" t="n">
        <v>224500</v>
      </c>
      <c r="E200" t="str">
        <f aca="1">INDEX('[1]Data Export (2)'!$A:$K,MATCH(A200,'[1]Data Export (2)'!$B:$B,0),11)</f>
        <v>Terrains</v>
      </c>
      <c r="F200" t="s">
        <v>674</v>
      </c>
    </row>
    <row r="201" spans="1:6">
      <c r="A201" t="s">
        <v>675</v>
      </c>
      <c r="B201" t="s">
        <v>676</v>
      </c>
      <c r="C201" t="s">
        <v>677</v>
      </c>
      <c r="D201" s="2" t="n">
        <v>224800</v>
      </c>
      <c r="E201" t="str">
        <f aca="1">INDEX('[1]Data Export (2)'!$A:$K,MATCH(A201,'[1]Data Export (2)'!$B:$B,0),11)</f>
        <v>Terrains</v>
      </c>
      <c r="F201" t="s">
        <v>678</v>
      </c>
    </row>
    <row r="202" spans="1:6">
      <c r="A202" t="s">
        <v>679</v>
      </c>
      <c r="B202" t="s">
        <v>680</v>
      </c>
      <c r="C202" t="s">
        <v>681</v>
      </c>
      <c r="D202" s="2" t="n">
        <v>225000</v>
      </c>
      <c r="E202" t="str">
        <f aca="1">INDEX('[1]Data Export (2)'!$A:$K,MATCH(A202,'[1]Data Export (2)'!$B:$B,0),11)</f>
        <v>Terrains</v>
      </c>
      <c r="F202" t="s">
        <v>682</v>
      </c>
    </row>
    <row r="203" spans="1:6">
      <c r="A203" t="s">
        <v>683</v>
      </c>
      <c r="B203" t="s">
        <v>684</v>
      </c>
      <c r="C203" t="s">
        <v>685</v>
      </c>
      <c r="D203" s="2" t="n">
        <v>225100</v>
      </c>
      <c r="E203" t="str">
        <f aca="1">INDEX('[1]Data Export (2)'!$A:$K,MATCH(A203,'[1]Data Export (2)'!$B:$B,0),11)</f>
        <v>Terrains</v>
      </c>
      <c r="F203" t="s">
        <v>686</v>
      </c>
    </row>
    <row r="204" spans="1:6">
      <c r="A204" t="s">
        <v>687</v>
      </c>
      <c r="B204" t="s">
        <v>688</v>
      </c>
      <c r="C204" t="s">
        <v>689</v>
      </c>
      <c r="D204" s="2" t="n">
        <v>226000</v>
      </c>
      <c r="E204" t="str">
        <f aca="1">INDEX('[1]Data Export (2)'!$A:$K,MATCH(A204,'[1]Data Export (2)'!$B:$B,0),11)</f>
        <v>Terrains</v>
      </c>
      <c r="F204" t="s">
        <v>690</v>
      </c>
    </row>
    <row r="205" spans="1:6">
      <c r="A205" t="s">
        <v>691</v>
      </c>
      <c r="B205" t="s">
        <v>692</v>
      </c>
      <c r="C205" t="s">
        <v>693</v>
      </c>
      <c r="D205" s="2" t="n">
        <v>226100</v>
      </c>
      <c r="E205" t="str">
        <f aca="1">INDEX('[1]Data Export (2)'!$A:$K,MATCH(A205,'[1]Data Export (2)'!$B:$B,0),11)</f>
        <v>Terrains</v>
      </c>
      <c r="F205" t="s">
        <v>694</v>
      </c>
    </row>
    <row r="206" spans="1:6">
      <c r="A206" t="s">
        <v>695</v>
      </c>
      <c r="B206" t="s">
        <v>696</v>
      </c>
      <c r="C206" t="s">
        <v>697</v>
      </c>
      <c r="D206" s="2" t="n">
        <v>227000</v>
      </c>
      <c r="E206" t="str">
        <f aca="1">INDEX('[1]Data Export (2)'!$A:$K,MATCH(A206,'[1]Data Export (2)'!$B:$B,0),11)</f>
        <v>Terrains</v>
      </c>
      <c r="F206" t="s">
        <v>698</v>
      </c>
    </row>
    <row r="207" spans="1:6">
      <c r="A207" t="s">
        <v>699</v>
      </c>
      <c r="B207" t="s">
        <v>700</v>
      </c>
      <c r="C207" t="s">
        <v>701</v>
      </c>
      <c r="D207" s="2" t="n">
        <v>228000</v>
      </c>
      <c r="E207" t="str">
        <f aca="1">INDEX('[1]Data Export (2)'!$A:$K,MATCH(A207,'[1]Data Export (2)'!$B:$B,0),11)</f>
        <v>Terrains</v>
      </c>
      <c r="F207" t="s">
        <v>702</v>
      </c>
    </row>
    <row r="208" spans="1:6">
      <c r="A208" t="s">
        <v>703</v>
      </c>
      <c r="B208" t="s">
        <v>704</v>
      </c>
      <c r="C208" t="s">
        <v>705</v>
      </c>
      <c r="D208" s="2" t="n">
        <v>228100</v>
      </c>
      <c r="E208" t="str">
        <f aca="1">INDEX('[1]Data Export (2)'!$A:$K,MATCH(A208,'[1]Data Export (2)'!$B:$B,0),11)</f>
        <v>Terrains</v>
      </c>
      <c r="F208" t="s">
        <v>706</v>
      </c>
    </row>
    <row r="209" spans="1:6">
      <c r="A209" t="s">
        <v>707</v>
      </c>
      <c r="B209" t="s">
        <v>708</v>
      </c>
      <c r="C209" t="s">
        <v>709</v>
      </c>
      <c r="D209" s="2" t="n">
        <v>228500</v>
      </c>
      <c r="E209" t="str">
        <f aca="1">INDEX('[1]Data Export (2)'!$A:$K,MATCH(A209,'[1]Data Export (2)'!$B:$B,0),11)</f>
        <v>Terrains</v>
      </c>
      <c r="F209" t="s">
        <v>710</v>
      </c>
    </row>
    <row r="210" spans="1:6">
      <c r="A210" t="s">
        <v>711</v>
      </c>
      <c r="B210" t="s">
        <v>712</v>
      </c>
      <c r="C210" t="s">
        <v>713</v>
      </c>
      <c r="D210" s="2" t="n">
        <v>228600</v>
      </c>
      <c r="E210" t="str">
        <f aca="1">INDEX('[1]Data Export (2)'!$A:$K,MATCH(A210,'[1]Data Export (2)'!$B:$B,0),11)</f>
        <v>Terrains</v>
      </c>
      <c r="F210" t="s">
        <v>714</v>
      </c>
    </row>
    <row r="211" spans="1:6">
      <c r="A211" t="s">
        <v>715</v>
      </c>
      <c r="B211" t="s">
        <v>716</v>
      </c>
      <c r="C211" t="s">
        <v>717</v>
      </c>
      <c r="D211" s="2" t="n">
        <v>228800</v>
      </c>
      <c r="E211" t="str">
        <f aca="1">INDEX('[1]Data Export (2)'!$A:$K,MATCH(A211,'[1]Data Export (2)'!$B:$B,0),11)</f>
        <v>Terrains</v>
      </c>
      <c r="F211" t="s">
        <v>718</v>
      </c>
    </row>
    <row r="212" spans="1:6">
      <c r="A212" t="s">
        <v>719</v>
      </c>
      <c r="B212" t="s">
        <v>720</v>
      </c>
      <c r="C212" t="s">
        <v>721</v>
      </c>
      <c r="D212" s="2" t="n">
        <v>229000</v>
      </c>
      <c r="E212" t="str">
        <f aca="1">INDEX('[1]Data Export (2)'!$A:$K,MATCH(A212,'[1]Data Export (2)'!$B:$B,0),11)</f>
        <v>Terrains</v>
      </c>
      <c r="F212" t="s">
        <v>722</v>
      </c>
    </row>
    <row r="213" spans="1:6">
      <c r="A213" t="s">
        <v>723</v>
      </c>
      <c r="B213" t="s">
        <v>724</v>
      </c>
      <c r="C213" t="s">
        <v>725</v>
      </c>
      <c r="D213" s="2" t="n">
        <v>229100</v>
      </c>
      <c r="E213" t="str">
        <f aca="1">INDEX('[1]Data Export (2)'!$A:$K,MATCH(A213,'[1]Data Export (2)'!$B:$B,0),11)</f>
        <v>Terrains</v>
      </c>
      <c r="F213" t="s">
        <v>726</v>
      </c>
    </row>
    <row r="214" spans="1:6">
      <c r="A214" t="s">
        <v>727</v>
      </c>
      <c r="B214" t="s">
        <v>728</v>
      </c>
      <c r="C214" t="s">
        <v>729</v>
      </c>
      <c r="D214" s="2" t="n">
        <v>229200</v>
      </c>
      <c r="E214" t="str">
        <f aca="1">INDEX('[1]Data Export (2)'!$A:$K,MATCH(A214,'[1]Data Export (2)'!$B:$B,0),11)</f>
        <v>Terrains</v>
      </c>
      <c r="F214" t="s">
        <v>730</v>
      </c>
    </row>
    <row r="215" spans="1:6">
      <c r="A215" t="s">
        <v>731</v>
      </c>
      <c r="B215" t="s">
        <v>732</v>
      </c>
      <c r="C215" t="s">
        <v>733</v>
      </c>
      <c r="D215" s="2" t="n">
        <v>229500</v>
      </c>
      <c r="E215" t="str">
        <f aca="1">INDEX('[1]Data Export (2)'!$A:$K,MATCH(A215,'[1]Data Export (2)'!$B:$B,0),11)</f>
        <v>Terrains</v>
      </c>
      <c r="F215" t="s">
        <v>734</v>
      </c>
    </row>
    <row r="216" spans="1:6">
      <c r="A216" t="s">
        <v>735</v>
      </c>
      <c r="B216" t="s">
        <v>736</v>
      </c>
      <c r="C216" t="s">
        <v>737</v>
      </c>
      <c r="D216" s="2" t="n">
        <v>229800</v>
      </c>
      <c r="E216" t="str">
        <f aca="1">INDEX('[1]Data Export (2)'!$A:$K,MATCH(A216,'[1]Data Export (2)'!$B:$B,0),11)</f>
        <v>Terrains</v>
      </c>
      <c r="F216" t="s">
        <v>738</v>
      </c>
    </row>
    <row r="217" spans="1:4">
      <c r="A217" t="s">
        <v>739</v>
      </c>
      <c r="B217" t="s">
        <v>740</v>
      </c>
      <c r="C217" t="s">
        <v>741</v>
      </c>
      <c r="D217" s="2" t="n">
        <v>23</v>
      </c>
    </row>
    <row r="218" spans="1:5">
      <c r="A218" t="s">
        <v>742</v>
      </c>
      <c r="B218" t="s">
        <v>743</v>
      </c>
      <c r="C218" t="s">
        <v>744</v>
      </c>
      <c r="D218" s="2" t="n">
        <v>231000</v>
      </c>
      <c r="E218" t="str">
        <f aca="1">INDEX('[1]Data Export (2)'!$A:$K,MATCH(A218,'[1]Data Export (2)'!$B:$B,0),11)</f>
        <v>Bâtiments</v>
      </c>
    </row>
    <row r="219" spans="1:5">
      <c r="A219" t="s">
        <v>745</v>
      </c>
      <c r="B219" t="s">
        <v>746</v>
      </c>
      <c r="C219" t="s">
        <v>747</v>
      </c>
      <c r="D219" s="2" t="n">
        <v>231100</v>
      </c>
      <c r="E219" t="str">
        <f aca="1">INDEX('[1]Data Export (2)'!$A:$K,MATCH(A219,'[1]Data Export (2)'!$B:$B,0),11)</f>
        <v>Bâtiments</v>
      </c>
    </row>
    <row r="220" spans="1:5">
      <c r="A220" t="s">
        <v>748</v>
      </c>
      <c r="B220" t="s">
        <v>749</v>
      </c>
      <c r="C220" t="s">
        <v>750</v>
      </c>
      <c r="D220" s="2" t="n">
        <v>231200</v>
      </c>
      <c r="E220" t="str">
        <f aca="1">INDEX('[1]Data Export (2)'!$A:$K,MATCH(A220,'[1]Data Export (2)'!$B:$B,0),11)</f>
        <v>Bâtiments</v>
      </c>
    </row>
    <row r="221" spans="1:5">
      <c r="A221" t="s">
        <v>751</v>
      </c>
      <c r="B221" t="s">
        <v>752</v>
      </c>
      <c r="C221" t="s">
        <v>753</v>
      </c>
      <c r="D221" s="2" t="n">
        <v>231300</v>
      </c>
      <c r="E221" t="str">
        <f aca="1">INDEX('[1]Data Export (2)'!$A:$K,MATCH(A221,'[1]Data Export (2)'!$B:$B,0),11)</f>
        <v>Bâtiments</v>
      </c>
    </row>
    <row r="222" spans="1:5">
      <c r="A222" t="s">
        <v>754</v>
      </c>
      <c r="B222" t="s">
        <v>755</v>
      </c>
      <c r="C222" t="s">
        <v>756</v>
      </c>
      <c r="D222" s="2" t="n">
        <v>231400</v>
      </c>
      <c r="E222" t="str">
        <f aca="1">INDEX('[1]Data Export (2)'!$A:$K,MATCH(A222,'[1]Data Export (2)'!$B:$B,0),11)</f>
        <v>Bâtiments</v>
      </c>
    </row>
    <row r="223" spans="1:5">
      <c r="A223" t="s">
        <v>757</v>
      </c>
      <c r="B223" t="s">
        <v>758</v>
      </c>
      <c r="C223" t="s">
        <v>759</v>
      </c>
      <c r="D223" s="2" t="n">
        <v>231500</v>
      </c>
      <c r="E223" t="str">
        <f aca="1">INDEX('[1]Data Export (2)'!$A:$K,MATCH(A223,'[1]Data Export (2)'!$B:$B,0),11)</f>
        <v>Bâtiments</v>
      </c>
    </row>
    <row r="224" spans="1:5">
      <c r="A224" t="s">
        <v>760</v>
      </c>
      <c r="B224" t="s">
        <v>761</v>
      </c>
      <c r="C224" t="s">
        <v>762</v>
      </c>
      <c r="D224" s="2" t="n">
        <v>231600</v>
      </c>
      <c r="E224" t="str">
        <f aca="1">INDEX('[1]Data Export (2)'!$A:$K,MATCH(A224,'[1]Data Export (2)'!$B:$B,0),11)</f>
        <v>Bâtiments</v>
      </c>
    </row>
    <row r="225" spans="1:5">
      <c r="A225" t="s">
        <v>763</v>
      </c>
      <c r="B225" t="s">
        <v>764</v>
      </c>
      <c r="C225" t="s">
        <v>765</v>
      </c>
      <c r="D225" s="2" t="n">
        <v>232000</v>
      </c>
      <c r="E225" t="str">
        <f aca="1">INDEX('[1]Data Export (2)'!$A:$K,MATCH(A225,'[1]Data Export (2)'!$B:$B,0),11)</f>
        <v>Bâtiments</v>
      </c>
    </row>
    <row r="226" spans="1:5">
      <c r="A226" t="s">
        <v>766</v>
      </c>
      <c r="B226" t="s">
        <v>767</v>
      </c>
      <c r="C226" t="s">
        <v>768</v>
      </c>
      <c r="D226" s="2" t="n">
        <v>232100</v>
      </c>
      <c r="E226" t="str">
        <f aca="1">INDEX('[1]Data Export (2)'!$A:$K,MATCH(A226,'[1]Data Export (2)'!$B:$B,0),11)</f>
        <v>Bâtiments</v>
      </c>
    </row>
    <row r="227" spans="1:5">
      <c r="A227" t="s">
        <v>769</v>
      </c>
      <c r="B227" t="s">
        <v>770</v>
      </c>
      <c r="C227" t="s">
        <v>771</v>
      </c>
      <c r="D227" s="2" t="n">
        <v>232200</v>
      </c>
      <c r="E227" t="str">
        <f aca="1">INDEX('[1]Data Export (2)'!$A:$K,MATCH(A227,'[1]Data Export (2)'!$B:$B,0),11)</f>
        <v>Bâtiments</v>
      </c>
    </row>
    <row r="228" spans="1:5">
      <c r="A228" t="s">
        <v>772</v>
      </c>
      <c r="B228" t="s">
        <v>773</v>
      </c>
      <c r="C228" t="s">
        <v>774</v>
      </c>
      <c r="D228" s="2" t="n">
        <v>232300</v>
      </c>
      <c r="E228" t="str">
        <f aca="1">INDEX('[1]Data Export (2)'!$A:$K,MATCH(A228,'[1]Data Export (2)'!$B:$B,0),11)</f>
        <v>Bâtiments</v>
      </c>
    </row>
    <row r="229" spans="1:5">
      <c r="A229" t="s">
        <v>775</v>
      </c>
      <c r="B229" t="s">
        <v>776</v>
      </c>
      <c r="C229" t="s">
        <v>777</v>
      </c>
      <c r="D229" s="2" t="n">
        <v>232400</v>
      </c>
      <c r="E229" t="str">
        <f aca="1">INDEX('[1]Data Export (2)'!$A:$K,MATCH(A229,'[1]Data Export (2)'!$B:$B,0),11)</f>
        <v>Bâtiments</v>
      </c>
    </row>
    <row r="230" spans="1:5">
      <c r="A230" t="s">
        <v>778</v>
      </c>
      <c r="B230" t="s">
        <v>779</v>
      </c>
      <c r="C230" t="s">
        <v>780</v>
      </c>
      <c r="D230" s="2" t="n">
        <v>232500</v>
      </c>
      <c r="E230" t="str">
        <f aca="1">INDEX('[1]Data Export (2)'!$A:$K,MATCH(A230,'[1]Data Export (2)'!$B:$B,0),11)</f>
        <v>Bâtiments</v>
      </c>
    </row>
    <row r="231" spans="1:5">
      <c r="A231" t="s">
        <v>781</v>
      </c>
      <c r="B231" t="s">
        <v>782</v>
      </c>
      <c r="C231" t="s">
        <v>783</v>
      </c>
      <c r="D231" s="2" t="n">
        <v>232600</v>
      </c>
      <c r="E231" t="str">
        <f aca="1">INDEX('[1]Data Export (2)'!$A:$K,MATCH(A231,'[1]Data Export (2)'!$B:$B,0),11)</f>
        <v>Bâtiments</v>
      </c>
    </row>
    <row r="232" spans="1:5">
      <c r="A232" t="s">
        <v>784</v>
      </c>
      <c r="B232" t="s">
        <v>785</v>
      </c>
      <c r="C232" t="s">
        <v>786</v>
      </c>
      <c r="D232" s="2" t="n">
        <v>233000</v>
      </c>
      <c r="E232" t="str">
        <f aca="1">INDEX('[1]Data Export (2)'!$A:$K,MATCH(A232,'[1]Data Export (2)'!$B:$B,0),11)</f>
        <v>Bâtiments</v>
      </c>
    </row>
    <row r="233" spans="1:5">
      <c r="A233" t="s">
        <v>787</v>
      </c>
      <c r="B233" t="s">
        <v>788</v>
      </c>
      <c r="C233" t="s">
        <v>789</v>
      </c>
      <c r="D233" s="2" t="n">
        <v>233100</v>
      </c>
      <c r="E233" t="str">
        <f aca="1">INDEX('[1]Data Export (2)'!$A:$K,MATCH(A233,'[1]Data Export (2)'!$B:$B,0),11)</f>
        <v>Bâtiments</v>
      </c>
    </row>
    <row r="234" spans="1:5">
      <c r="A234" t="s">
        <v>790</v>
      </c>
      <c r="B234" t="s">
        <v>791</v>
      </c>
      <c r="C234" t="s">
        <v>792</v>
      </c>
      <c r="D234" s="2" t="n">
        <v>233200</v>
      </c>
      <c r="E234" t="str">
        <f aca="1">INDEX('[1]Data Export (2)'!$A:$K,MATCH(A234,'[1]Data Export (2)'!$B:$B,0),11)</f>
        <v>Bâtiments</v>
      </c>
    </row>
    <row r="235" spans="1:5">
      <c r="A235" t="s">
        <v>793</v>
      </c>
      <c r="B235" t="s">
        <v>794</v>
      </c>
      <c r="C235" t="s">
        <v>795</v>
      </c>
      <c r="D235" s="2" t="n">
        <v>233300</v>
      </c>
      <c r="E235" t="str">
        <f aca="1">INDEX('[1]Data Export (2)'!$A:$K,MATCH(A235,'[1]Data Export (2)'!$B:$B,0),11)</f>
        <v>Bâtiments</v>
      </c>
    </row>
    <row r="236" spans="1:5">
      <c r="A236" t="s">
        <v>796</v>
      </c>
      <c r="B236" t="s">
        <v>797</v>
      </c>
      <c r="C236" t="s">
        <v>798</v>
      </c>
      <c r="D236" s="2" t="n">
        <v>233400</v>
      </c>
      <c r="E236" t="str">
        <f aca="1">INDEX('[1]Data Export (2)'!$A:$K,MATCH(A236,'[1]Data Export (2)'!$B:$B,0),11)</f>
        <v>Bâtiments</v>
      </c>
    </row>
    <row r="237" spans="1:5">
      <c r="A237" t="s">
        <v>799</v>
      </c>
      <c r="B237" t="s">
        <v>800</v>
      </c>
      <c r="C237" t="s">
        <v>801</v>
      </c>
      <c r="D237" s="2" t="n">
        <v>233500</v>
      </c>
      <c r="E237" t="str">
        <f aca="1">INDEX('[1]Data Export (2)'!$A:$K,MATCH(A237,'[1]Data Export (2)'!$B:$B,0),11)</f>
        <v>Bâtiments</v>
      </c>
    </row>
    <row r="238" spans="1:5">
      <c r="A238" t="s">
        <v>802</v>
      </c>
      <c r="B238" t="s">
        <v>803</v>
      </c>
      <c r="C238" t="s">
        <v>804</v>
      </c>
      <c r="D238" s="2" t="n">
        <v>233800</v>
      </c>
      <c r="E238" t="str">
        <f aca="1">INDEX('[1]Data Export (2)'!$A:$K,MATCH(A238,'[1]Data Export (2)'!$B:$B,0),11)</f>
        <v>Bâtiments</v>
      </c>
    </row>
    <row r="239" spans="1:5">
      <c r="A239" t="s">
        <v>805</v>
      </c>
      <c r="B239" t="s">
        <v>806</v>
      </c>
      <c r="C239" t="s">
        <v>807</v>
      </c>
      <c r="D239" s="2" t="n">
        <v>234000</v>
      </c>
      <c r="E239" t="str">
        <f aca="1">INDEX('[1]Data Export (2)'!$A:$K,MATCH(A239,'[1]Data Export (2)'!$B:$B,0),11)</f>
        <v>Aménagement, agencements et Installations </v>
      </c>
    </row>
    <row r="240" spans="1:5">
      <c r="A240" t="s">
        <v>808</v>
      </c>
      <c r="B240" t="s">
        <v>809</v>
      </c>
      <c r="C240" t="s">
        <v>810</v>
      </c>
      <c r="D240" s="2" t="n">
        <v>234100</v>
      </c>
      <c r="E240" t="str">
        <f aca="1">INDEX('[1]Data Export (2)'!$A:$K,MATCH(A240,'[1]Data Export (2)'!$B:$B,0),11)</f>
        <v>Aménagement, agencements et Installations </v>
      </c>
    </row>
    <row r="241" spans="1:5">
      <c r="A241" t="s">
        <v>811</v>
      </c>
      <c r="B241" t="s">
        <v>812</v>
      </c>
      <c r="C241" t="s">
        <v>813</v>
      </c>
      <c r="D241" s="2" t="n">
        <v>234200</v>
      </c>
      <c r="E241" t="str">
        <f aca="1">INDEX('[1]Data Export (2)'!$A:$K,MATCH(A241,'[1]Data Export (2)'!$B:$B,0),11)</f>
        <v>Aménagement, agencements et Installations </v>
      </c>
    </row>
    <row r="242" spans="1:5">
      <c r="A242" t="s">
        <v>814</v>
      </c>
      <c r="B242" t="s">
        <v>815</v>
      </c>
      <c r="C242" t="s">
        <v>816</v>
      </c>
      <c r="D242" s="2" t="n">
        <v>234300</v>
      </c>
      <c r="E242" t="str">
        <f aca="1">INDEX('[1]Data Export (2)'!$A:$K,MATCH(A242,'[1]Data Export (2)'!$B:$B,0),11)</f>
        <v>Aménagement, agencements et Installations </v>
      </c>
    </row>
    <row r="243" spans="1:5">
      <c r="A243" t="s">
        <v>817</v>
      </c>
      <c r="B243" t="s">
        <v>818</v>
      </c>
      <c r="C243" t="s">
        <v>819</v>
      </c>
      <c r="D243" s="2" t="n">
        <v>234400</v>
      </c>
      <c r="E243" t="str">
        <f aca="1">INDEX('[1]Data Export (2)'!$A:$K,MATCH(A243,'[1]Data Export (2)'!$B:$B,0),11)</f>
        <v>Aménagement, agencements et Installations </v>
      </c>
    </row>
    <row r="244" spans="1:5">
      <c r="A244" t="s">
        <v>820</v>
      </c>
      <c r="B244" t="s">
        <v>821</v>
      </c>
      <c r="C244" t="s">
        <v>822</v>
      </c>
      <c r="D244" s="2" t="n">
        <v>234500</v>
      </c>
      <c r="E244" t="str">
        <f aca="1">INDEX('[1]Data Export (2)'!$A:$K,MATCH(A244,'[1]Data Export (2)'!$B:$B,0),11)</f>
        <v>Aménagement, agencements et Installations </v>
      </c>
    </row>
    <row r="245" spans="1:5">
      <c r="A245" t="s">
        <v>823</v>
      </c>
      <c r="B245" t="s">
        <v>824</v>
      </c>
      <c r="C245" t="s">
        <v>825</v>
      </c>
      <c r="D245" s="2" t="n">
        <v>235000</v>
      </c>
      <c r="E245" t="str">
        <f aca="1">INDEX('[1]Data Export (2)'!$A:$K,MATCH(A245,'[1]Data Export (2)'!$B:$B,0),11)</f>
        <v>Aménagement, agencements et Installations </v>
      </c>
    </row>
    <row r="246" spans="1:5">
      <c r="A246" t="s">
        <v>826</v>
      </c>
      <c r="B246" t="s">
        <v>827</v>
      </c>
      <c r="C246" t="s">
        <v>828</v>
      </c>
      <c r="D246" s="2" t="n">
        <v>235100</v>
      </c>
      <c r="E246" t="str">
        <f aca="1">INDEX('[1]Data Export (2)'!$A:$K,MATCH(A246,'[1]Data Export (2)'!$B:$B,0),11)</f>
        <v>Aménagement, agencements et Installations </v>
      </c>
    </row>
    <row r="247" spans="1:5">
      <c r="A247" t="s">
        <v>829</v>
      </c>
      <c r="B247" t="s">
        <v>830</v>
      </c>
      <c r="C247" t="s">
        <v>831</v>
      </c>
      <c r="D247" s="2" t="n">
        <v>235800</v>
      </c>
      <c r="E247" t="str">
        <f aca="1">INDEX('[1]Data Export (2)'!$A:$K,MATCH(A247,'[1]Data Export (2)'!$B:$B,0),11)</f>
        <v>Aménagement, agencements et Installations </v>
      </c>
    </row>
    <row r="248" spans="1:5">
      <c r="A248" t="s">
        <v>832</v>
      </c>
      <c r="B248" t="s">
        <v>833</v>
      </c>
      <c r="C248" t="s">
        <v>834</v>
      </c>
      <c r="D248" s="2" t="n">
        <v>237000</v>
      </c>
      <c r="E248" t="str">
        <f aca="1">INDEX('[1]Data Export (2)'!$A:$K,MATCH(A248,'[1]Data Export (2)'!$B:$B,0),11)</f>
        <v>Bâtiments</v>
      </c>
    </row>
    <row r="249" spans="1:5">
      <c r="A249" t="s">
        <v>835</v>
      </c>
      <c r="B249" t="s">
        <v>836</v>
      </c>
      <c r="C249" t="s">
        <v>837</v>
      </c>
      <c r="D249" s="2" t="n">
        <v>238000</v>
      </c>
      <c r="E249" t="str">
        <f aca="1">INDEX('[1]Data Export (2)'!$A:$K,MATCH(A249,'[1]Data Export (2)'!$B:$B,0),11)</f>
        <v>Aménagement, agencements et Installations </v>
      </c>
    </row>
    <row r="250" spans="1:5">
      <c r="A250" t="s">
        <v>838</v>
      </c>
      <c r="B250" t="s">
        <v>839</v>
      </c>
      <c r="C250" t="s">
        <v>840</v>
      </c>
      <c r="D250" s="2" t="n">
        <v>239000</v>
      </c>
      <c r="E250" t="str">
        <f aca="1">INDEX('[1]Data Export (2)'!$A:$K,MATCH(A250,'[1]Data Export (2)'!$B:$B,0),11)</f>
        <v>Bâtiments</v>
      </c>
    </row>
    <row r="251" spans="1:5">
      <c r="A251" t="s">
        <v>841</v>
      </c>
      <c r="B251" t="s">
        <v>842</v>
      </c>
      <c r="C251" t="s">
        <v>843</v>
      </c>
      <c r="D251" s="2" t="n">
        <v>239100</v>
      </c>
      <c r="E251" t="str">
        <f aca="1">INDEX('[1]Data Export (2)'!$A:$K,MATCH(A251,'[1]Data Export (2)'!$B:$B,0),11)</f>
        <v>Aménagement, agencements et Installations </v>
      </c>
    </row>
    <row r="252" spans="1:5">
      <c r="A252" t="s">
        <v>844</v>
      </c>
      <c r="B252" t="s">
        <v>845</v>
      </c>
      <c r="C252" t="s">
        <v>846</v>
      </c>
      <c r="D252" s="2" t="n">
        <v>239200</v>
      </c>
      <c r="E252" t="str">
        <f aca="1">INDEX('[1]Data Export (2)'!$A:$K,MATCH(A252,'[1]Data Export (2)'!$B:$B,0),11)</f>
        <v>Aménagement, agencements et Installations </v>
      </c>
    </row>
    <row r="253" spans="1:5">
      <c r="A253" t="s">
        <v>847</v>
      </c>
      <c r="B253" t="s">
        <v>848</v>
      </c>
      <c r="C253" t="s">
        <v>849</v>
      </c>
      <c r="D253" s="2" t="n">
        <v>239300</v>
      </c>
      <c r="E253" t="str">
        <f aca="1">INDEX('[1]Data Export (2)'!$A:$K,MATCH(A253,'[1]Data Export (2)'!$B:$B,0),11)</f>
        <v>Aménagement, agencements et Installations </v>
      </c>
    </row>
    <row r="254" spans="1:5">
      <c r="A254" t="s">
        <v>850</v>
      </c>
      <c r="B254" t="s">
        <v>851</v>
      </c>
      <c r="C254" t="s">
        <v>852</v>
      </c>
      <c r="D254" s="2" t="n">
        <v>239400</v>
      </c>
      <c r="E254" t="str">
        <f aca="1">INDEX('[1]Data Export (2)'!$A:$K,MATCH(A254,'[1]Data Export (2)'!$B:$B,0),11)</f>
        <v>Aménagement, agencements et Installations </v>
      </c>
    </row>
    <row r="255" spans="1:5">
      <c r="A255" t="s">
        <v>853</v>
      </c>
      <c r="B255" t="s">
        <v>854</v>
      </c>
      <c r="C255" t="s">
        <v>855</v>
      </c>
      <c r="D255" s="2" t="n">
        <v>239500</v>
      </c>
      <c r="E255" t="str">
        <f aca="1">INDEX('[1]Data Export (2)'!$A:$K,MATCH(A255,'[1]Data Export (2)'!$B:$B,0),11)</f>
        <v>Aménagement, agencements et Installations </v>
      </c>
    </row>
    <row r="256" spans="1:5">
      <c r="A256" t="s">
        <v>856</v>
      </c>
      <c r="B256" t="s">
        <v>857</v>
      </c>
      <c r="C256" t="s">
        <v>858</v>
      </c>
      <c r="D256" s="2" t="n">
        <v>239800</v>
      </c>
      <c r="E256" t="str">
        <f aca="1">INDEX('[1]Data Export (2)'!$A:$K,MATCH(A256,'[1]Data Export (2)'!$B:$B,0),11)</f>
        <v>Aménagement, agencements et Installations </v>
      </c>
    </row>
    <row r="257" spans="1:4">
      <c r="A257" t="s">
        <v>859</v>
      </c>
      <c r="B257" t="s">
        <v>860</v>
      </c>
      <c r="C257" t="s">
        <v>861</v>
      </c>
      <c r="D257" s="2" t="n">
        <v>24</v>
      </c>
    </row>
    <row r="258" spans="1:5">
      <c r="A258" t="s">
        <v>862</v>
      </c>
      <c r="B258" t="s">
        <v>863</v>
      </c>
      <c r="C258" t="s">
        <v>864</v>
      </c>
      <c r="D258" s="2" t="n">
        <v>241000</v>
      </c>
      <c r="E258" t="str">
        <f aca="1">INDEX('[1]Data Export (2)'!$A:$K,MATCH(A258,'[1]Data Export (2)'!$B:$B,0),11)</f>
        <v>Matériel, mobilier et actifs biologiques</v>
      </c>
    </row>
    <row r="259" spans="1:5">
      <c r="A259" t="s">
        <v>865</v>
      </c>
      <c r="B259" t="s">
        <v>866</v>
      </c>
      <c r="C259" t="s">
        <v>867</v>
      </c>
      <c r="D259" s="2" t="n">
        <v>241100</v>
      </c>
      <c r="E259" t="str">
        <f aca="1">INDEX('[1]Data Export (2)'!$A:$K,MATCH(A259,'[1]Data Export (2)'!$B:$B,0),11)</f>
        <v>Matériel, mobilier et actifs biologiques</v>
      </c>
    </row>
    <row r="260" spans="1:5">
      <c r="A260" t="s">
        <v>868</v>
      </c>
      <c r="B260" t="s">
        <v>869</v>
      </c>
      <c r="C260" t="s">
        <v>870</v>
      </c>
      <c r="D260" s="2" t="n">
        <v>241200</v>
      </c>
      <c r="E260" t="str">
        <f aca="1">INDEX('[1]Data Export (2)'!$A:$K,MATCH(A260,'[1]Data Export (2)'!$B:$B,0),11)</f>
        <v>Matériel, mobilier et actifs biologiques</v>
      </c>
    </row>
    <row r="261" spans="1:5">
      <c r="A261" t="s">
        <v>871</v>
      </c>
      <c r="B261" t="s">
        <v>872</v>
      </c>
      <c r="C261" t="s">
        <v>873</v>
      </c>
      <c r="D261" s="2" t="n">
        <v>241300</v>
      </c>
      <c r="E261" t="str">
        <f aca="1">INDEX('[1]Data Export (2)'!$A:$K,MATCH(A261,'[1]Data Export (2)'!$B:$B,0),11)</f>
        <v>Matériel, mobilier et actifs biologiques</v>
      </c>
    </row>
    <row r="262" spans="1:5">
      <c r="A262" t="s">
        <v>874</v>
      </c>
      <c r="B262" t="s">
        <v>875</v>
      </c>
      <c r="C262" t="s">
        <v>876</v>
      </c>
      <c r="D262" s="2" t="n">
        <v>241400</v>
      </c>
      <c r="E262" t="str">
        <f aca="1">INDEX('[1]Data Export (2)'!$A:$K,MATCH(A262,'[1]Data Export (2)'!$B:$B,0),11)</f>
        <v>Matériel, mobilier et actifs biologiques</v>
      </c>
    </row>
    <row r="263" spans="1:5">
      <c r="A263" t="s">
        <v>877</v>
      </c>
      <c r="B263" t="s">
        <v>878</v>
      </c>
      <c r="C263" t="s">
        <v>879</v>
      </c>
      <c r="D263" s="2" t="n">
        <v>241600</v>
      </c>
      <c r="E263" t="str">
        <f aca="1">INDEX('[1]Data Export (2)'!$A:$K,MATCH(D263,'[1]Data Export (2)'!$F:$F,0),11)</f>
        <v>Matériel, mobilier et actifs biologiques</v>
      </c>
    </row>
    <row r="264" spans="1:5">
      <c r="A264" t="s">
        <v>880</v>
      </c>
      <c r="B264" t="s">
        <v>881</v>
      </c>
      <c r="C264" t="s">
        <v>882</v>
      </c>
      <c r="D264" s="2" t="n">
        <v>242000</v>
      </c>
      <c r="E264" t="str">
        <f aca="1">INDEX('[1]Data Export (2)'!$A:$K,MATCH(A264,'[1]Data Export (2)'!$B:$B,0),11)</f>
        <v>Matériel, mobilier et actifs biologiques</v>
      </c>
    </row>
    <row r="265" spans="1:5">
      <c r="A265" t="s">
        <v>883</v>
      </c>
      <c r="B265" t="s">
        <v>884</v>
      </c>
      <c r="C265" t="s">
        <v>885</v>
      </c>
      <c r="D265" s="2" t="n">
        <v>242100</v>
      </c>
      <c r="E265" t="str">
        <f aca="1">INDEX('[1]Data Export (2)'!$A:$K,MATCH(A265,'[1]Data Export (2)'!$B:$B,0),11)</f>
        <v>Matériel, mobilier et actifs biologiques</v>
      </c>
    </row>
    <row r="266" spans="1:5">
      <c r="A266" t="s">
        <v>886</v>
      </c>
      <c r="B266" t="s">
        <v>887</v>
      </c>
      <c r="C266" t="s">
        <v>888</v>
      </c>
      <c r="D266" s="2" t="n">
        <v>242200</v>
      </c>
      <c r="E266" t="str">
        <f aca="1">INDEX('[1]Data Export (2)'!$A:$K,MATCH(A266,'[1]Data Export (2)'!$B:$B,0),11)</f>
        <v>Matériel, mobilier et actifs biologiques</v>
      </c>
    </row>
    <row r="267" spans="1:5">
      <c r="A267" t="s">
        <v>889</v>
      </c>
      <c r="B267" t="s">
        <v>890</v>
      </c>
      <c r="C267" t="s">
        <v>891</v>
      </c>
      <c r="D267" s="2" t="n">
        <v>242600</v>
      </c>
      <c r="E267" t="str">
        <f aca="1">INDEX('[1]Data Export (2)'!$A:$K,MATCH(D267,'[1]Data Export (2)'!$F:$F,0),11)</f>
        <v>Matériel, mobilier et actifs biologiques</v>
      </c>
    </row>
    <row r="268" spans="1:5">
      <c r="A268" t="s">
        <v>892</v>
      </c>
      <c r="B268" t="s">
        <v>893</v>
      </c>
      <c r="C268" t="s">
        <v>894</v>
      </c>
      <c r="D268" s="2" t="n">
        <v>243000</v>
      </c>
      <c r="E268" t="str">
        <f aca="1">INDEX('[1]Data Export (2)'!$A:$K,MATCH(A268,'[1]Data Export (2)'!$B:$B,0),11)</f>
        <v>Matériel, mobilier et actifs biologiques</v>
      </c>
    </row>
    <row r="269" spans="1:5">
      <c r="A269" t="s">
        <v>895</v>
      </c>
      <c r="B269" t="s">
        <v>896</v>
      </c>
      <c r="C269" t="s">
        <v>897</v>
      </c>
      <c r="D269" s="2" t="n">
        <v>244000</v>
      </c>
      <c r="E269" t="str">
        <f aca="1">INDEX('[1]Data Export (2)'!$A:$K,MATCH(A269,'[1]Data Export (2)'!$B:$B,0),11)</f>
        <v>Matériel, mobilier et actifs biologiques</v>
      </c>
    </row>
    <row r="270" spans="1:5">
      <c r="A270" t="s">
        <v>898</v>
      </c>
      <c r="B270" t="s">
        <v>899</v>
      </c>
      <c r="C270" t="s">
        <v>900</v>
      </c>
      <c r="D270" s="2" t="n">
        <v>244100</v>
      </c>
      <c r="E270" t="str">
        <f aca="1">INDEX('[1]Data Export (2)'!$A:$K,MATCH(A270,'[1]Data Export (2)'!$B:$B,0),11)</f>
        <v>Matériel, mobilier et actifs biologiques</v>
      </c>
    </row>
    <row r="271" spans="1:5">
      <c r="A271" t="s">
        <v>901</v>
      </c>
      <c r="B271" t="s">
        <v>902</v>
      </c>
      <c r="C271" t="s">
        <v>903</v>
      </c>
      <c r="D271" s="2" t="n">
        <v>244200</v>
      </c>
      <c r="E271" t="str">
        <f aca="1">INDEX('[1]Data Export (2)'!$A:$K,MATCH(A271,'[1]Data Export (2)'!$B:$B,0),11)</f>
        <v>Matériel, mobilier et actifs biologiques</v>
      </c>
    </row>
    <row r="272" spans="1:5">
      <c r="A272" t="s">
        <v>904</v>
      </c>
      <c r="B272" t="s">
        <v>905</v>
      </c>
      <c r="C272" t="s">
        <v>906</v>
      </c>
      <c r="D272" s="2" t="n">
        <v>244300</v>
      </c>
      <c r="E272" t="str">
        <f aca="1">INDEX('[1]Data Export (2)'!$A:$K,MATCH(A272,'[1]Data Export (2)'!$B:$B,0),11)</f>
        <v>Matériel, mobilier et actifs biologiques</v>
      </c>
    </row>
    <row r="273" spans="1:5">
      <c r="A273" t="s">
        <v>907</v>
      </c>
      <c r="B273" t="s">
        <v>908</v>
      </c>
      <c r="C273" t="s">
        <v>909</v>
      </c>
      <c r="D273" s="2" t="n">
        <v>244400</v>
      </c>
      <c r="E273" t="str">
        <f aca="1">INDEX('[1]Data Export (2)'!$A:$K,MATCH(A273,'[1]Data Export (2)'!$B:$B,0),11)</f>
        <v>Matériel, mobilier et actifs biologiques</v>
      </c>
    </row>
    <row r="274" spans="1:5">
      <c r="A274" t="s">
        <v>910</v>
      </c>
      <c r="B274" t="s">
        <v>911</v>
      </c>
      <c r="C274" t="s">
        <v>912</v>
      </c>
      <c r="D274" s="2" t="n">
        <v>244500</v>
      </c>
      <c r="E274" t="str">
        <f aca="1">INDEX('[1]Data Export (2)'!$A:$K,MATCH(A274,'[1]Data Export (2)'!$B:$B,0),11)</f>
        <v>Matériel, mobilier et actifs biologiques</v>
      </c>
    </row>
    <row r="275" spans="1:5">
      <c r="A275" t="s">
        <v>913</v>
      </c>
      <c r="B275" t="s">
        <v>914</v>
      </c>
      <c r="C275" t="s">
        <v>915</v>
      </c>
      <c r="D275" s="2" t="n">
        <v>244600</v>
      </c>
      <c r="E275" t="str">
        <f aca="1">INDEX('[1]Data Export (2)'!$A:$K,MATCH(A275,'[1]Data Export (2)'!$B:$B,0),11)</f>
        <v>Matériel, mobilier et actifs biologiques</v>
      </c>
    </row>
    <row r="276" spans="1:5">
      <c r="A276" t="s">
        <v>916</v>
      </c>
      <c r="B276" t="s">
        <v>917</v>
      </c>
      <c r="C276" t="s">
        <v>918</v>
      </c>
      <c r="D276" s="2" t="n">
        <v>244700</v>
      </c>
      <c r="E276" t="str">
        <f aca="1">INDEX('[1]Data Export (2)'!$A:$K,MATCH(A276,'[1]Data Export (2)'!$B:$B,0),11)</f>
        <v>Matériel, mobilier et actifs biologiques</v>
      </c>
    </row>
    <row r="277" spans="1:5">
      <c r="A277" t="s">
        <v>919</v>
      </c>
      <c r="B277" t="s">
        <v>920</v>
      </c>
      <c r="C277" t="s">
        <v>921</v>
      </c>
      <c r="D277" s="2" t="n">
        <v>245000</v>
      </c>
      <c r="E277" t="str">
        <f aca="1">INDEX('[1]Data Export (2)'!$A:$K,MATCH(A277,'[1]Data Export (2)'!$B:$B,0),11)</f>
        <v>Matériel de transport</v>
      </c>
    </row>
    <row r="278" spans="1:5">
      <c r="A278" t="s">
        <v>922</v>
      </c>
      <c r="B278" t="s">
        <v>923</v>
      </c>
      <c r="C278" t="s">
        <v>924</v>
      </c>
      <c r="D278" s="2" t="n">
        <v>245100</v>
      </c>
      <c r="E278" t="str">
        <f aca="1">INDEX('[1]Data Export (2)'!$A:$K,MATCH(A278,'[1]Data Export (2)'!$B:$B,0),11)</f>
        <v>Matériel, mobilier et actifs biologiques</v>
      </c>
    </row>
    <row r="279" spans="1:5">
      <c r="A279" t="s">
        <v>925</v>
      </c>
      <c r="B279" t="s">
        <v>926</v>
      </c>
      <c r="C279" t="s">
        <v>927</v>
      </c>
      <c r="D279" s="2" t="n">
        <v>245200</v>
      </c>
      <c r="E279" t="str">
        <f aca="1">INDEX('[1]Data Export (2)'!$A:$K,MATCH(A279,'[1]Data Export (2)'!$B:$B,0),11)</f>
        <v>Matériel, mobilier et actifs biologiques</v>
      </c>
    </row>
    <row r="280" spans="1:5">
      <c r="A280" t="s">
        <v>928</v>
      </c>
      <c r="B280" t="s">
        <v>929</v>
      </c>
      <c r="C280" t="s">
        <v>930</v>
      </c>
      <c r="D280" s="2" t="n">
        <v>245300</v>
      </c>
      <c r="E280" t="str">
        <f aca="1">INDEX('[1]Data Export (2)'!$A:$K,MATCH(A280,'[1]Data Export (2)'!$B:$B,0),11)</f>
        <v>Matériel, mobilier et actifs biologiques</v>
      </c>
    </row>
    <row r="281" spans="1:5">
      <c r="A281" t="s">
        <v>931</v>
      </c>
      <c r="B281" t="s">
        <v>932</v>
      </c>
      <c r="C281" t="s">
        <v>933</v>
      </c>
      <c r="D281" s="2" t="n">
        <v>245400</v>
      </c>
      <c r="E281" t="str">
        <f aca="1">INDEX('[1]Data Export (2)'!$A:$K,MATCH(A281,'[1]Data Export (2)'!$B:$B,0),11)</f>
        <v>Matériel, mobilier et actifs biologiques</v>
      </c>
    </row>
    <row r="282" spans="1:5">
      <c r="A282" t="s">
        <v>934</v>
      </c>
      <c r="B282" t="s">
        <v>935</v>
      </c>
      <c r="C282" t="s">
        <v>936</v>
      </c>
      <c r="D282" s="2" t="n">
        <v>245500</v>
      </c>
      <c r="E282" t="str">
        <f aca="1">INDEX('[1]Data Export (2)'!$A:$K,MATCH(A282,'[1]Data Export (2)'!$B:$B,0),11)</f>
        <v>Matériel, mobilier et actifs biologiques</v>
      </c>
    </row>
    <row r="283" spans="1:5">
      <c r="A283" t="s">
        <v>937</v>
      </c>
      <c r="B283" t="s">
        <v>938</v>
      </c>
      <c r="C283" t="s">
        <v>939</v>
      </c>
      <c r="D283" s="2" t="n">
        <v>245600</v>
      </c>
      <c r="E283" t="str">
        <f aca="1">INDEX('[1]Data Export (2)'!$A:$K,MATCH(D283,'[1]Data Export (2)'!$F:$F,0),11)</f>
        <v>Matériel, mobilier et actifs biologiques</v>
      </c>
    </row>
    <row r="284" spans="1:5">
      <c r="A284" t="s">
        <v>940</v>
      </c>
      <c r="B284" t="s">
        <v>941</v>
      </c>
      <c r="C284" t="s">
        <v>942</v>
      </c>
      <c r="D284" s="2" t="n">
        <v>245700</v>
      </c>
      <c r="E284" t="str">
        <f aca="1">INDEX('[1]Data Export (2)'!$A:$K,MATCH(A284,'[1]Data Export (2)'!$B:$B,0),11)</f>
        <v>Matériel, mobilier et actifs biologiques</v>
      </c>
    </row>
    <row r="285" spans="1:5">
      <c r="A285" t="s">
        <v>943</v>
      </c>
      <c r="B285" t="s">
        <v>944</v>
      </c>
      <c r="C285" t="s">
        <v>945</v>
      </c>
      <c r="D285" s="2" t="n">
        <v>245800</v>
      </c>
      <c r="E285" t="str">
        <f aca="1">INDEX('[1]Data Export (2)'!$A:$K,MATCH(A285,'[1]Data Export (2)'!$B:$B,0),11)</f>
        <v>Matériel, mobilier et actifs biologiques</v>
      </c>
    </row>
    <row r="286" spans="1:5">
      <c r="A286" t="s">
        <v>946</v>
      </c>
      <c r="B286" t="s">
        <v>947</v>
      </c>
      <c r="C286" t="s">
        <v>948</v>
      </c>
      <c r="D286" s="2" t="n">
        <v>246000</v>
      </c>
      <c r="E286" t="str">
        <f aca="1">INDEX('[1]Data Export (2)'!$A:$K,MATCH(A286,'[1]Data Export (2)'!$B:$B,0),11)</f>
        <v>Matériel, mobilier et actifs biologiques</v>
      </c>
    </row>
    <row r="287" spans="1:5">
      <c r="A287" t="s">
        <v>949</v>
      </c>
      <c r="B287" t="s">
        <v>950</v>
      </c>
      <c r="C287" t="s">
        <v>951</v>
      </c>
      <c r="D287" s="2" t="n">
        <v>246100</v>
      </c>
      <c r="E287" t="str">
        <f aca="1">INDEX('[1]Data Export (2)'!$A:$K,MATCH(A287,'[1]Data Export (2)'!$B:$B,0),11)</f>
        <v>Matériel, mobilier et actifs biologiques</v>
      </c>
    </row>
    <row r="288" spans="1:5">
      <c r="A288" t="s">
        <v>952</v>
      </c>
      <c r="B288" t="s">
        <v>953</v>
      </c>
      <c r="C288" t="s">
        <v>954</v>
      </c>
      <c r="D288" s="2" t="n">
        <v>246200</v>
      </c>
      <c r="E288" t="str">
        <f aca="1">INDEX('[1]Data Export (2)'!$A:$K,MATCH(A288,'[1]Data Export (2)'!$B:$B,0),11)</f>
        <v>Matériel, mobilier et actifs biologiques</v>
      </c>
    </row>
    <row r="289" spans="1:5">
      <c r="A289" t="s">
        <v>955</v>
      </c>
      <c r="B289" t="s">
        <v>956</v>
      </c>
      <c r="C289" t="s">
        <v>957</v>
      </c>
      <c r="D289" s="2" t="n">
        <v>246300</v>
      </c>
      <c r="E289" t="str">
        <f aca="1">INDEX('[1]Data Export (2)'!$A:$K,MATCH(A289,'[1]Data Export (2)'!$B:$B,0),11)</f>
        <v>Matériel, mobilier et actifs biologiques</v>
      </c>
    </row>
    <row r="290" spans="1:5">
      <c r="A290" t="s">
        <v>958</v>
      </c>
      <c r="B290" t="s">
        <v>959</v>
      </c>
      <c r="C290" t="s">
        <v>960</v>
      </c>
      <c r="D290" s="2" t="n">
        <v>246500</v>
      </c>
      <c r="E290" t="str">
        <f aca="1">INDEX('[1]Data Export (2)'!$A:$K,MATCH(A290,'[1]Data Export (2)'!$B:$B,0),11)</f>
        <v>Matériel, mobilier et actifs biologiques</v>
      </c>
    </row>
    <row r="291" spans="1:5">
      <c r="A291" t="s">
        <v>961</v>
      </c>
      <c r="B291" t="s">
        <v>962</v>
      </c>
      <c r="C291" t="s">
        <v>963</v>
      </c>
      <c r="D291" s="2" t="n">
        <v>246800</v>
      </c>
      <c r="E291" t="str">
        <f aca="1">INDEX('[1]Data Export (2)'!$A:$K,MATCH(A291,'[1]Data Export (2)'!$B:$B,0),11)</f>
        <v>Matériel, mobilier et actifs biologiques</v>
      </c>
    </row>
    <row r="292" spans="1:5">
      <c r="A292" t="s">
        <v>964</v>
      </c>
      <c r="B292" t="s">
        <v>965</v>
      </c>
      <c r="C292" t="s">
        <v>966</v>
      </c>
      <c r="D292" s="2" t="n">
        <v>247000</v>
      </c>
      <c r="E292" t="str">
        <f aca="1">INDEX('[1]Data Export (2)'!$A:$K,MATCH(A292,'[1]Data Export (2)'!$B:$B,0),11)</f>
        <v>Matériel, mobilier et actifs biologiques</v>
      </c>
    </row>
    <row r="293" spans="1:5">
      <c r="A293" t="s">
        <v>967</v>
      </c>
      <c r="B293" t="s">
        <v>968</v>
      </c>
      <c r="C293" t="s">
        <v>969</v>
      </c>
      <c r="D293" s="2" t="n">
        <v>247100</v>
      </c>
      <c r="E293" t="str">
        <f aca="1">INDEX('[1]Data Export (2)'!$A:$K,MATCH(A293,'[1]Data Export (2)'!$B:$B,0),11)</f>
        <v>Matériel, mobilier et actifs biologiques</v>
      </c>
    </row>
    <row r="294" spans="1:5">
      <c r="A294" t="s">
        <v>970</v>
      </c>
      <c r="B294" t="s">
        <v>971</v>
      </c>
      <c r="C294" t="s">
        <v>972</v>
      </c>
      <c r="D294" s="2" t="n">
        <v>247200</v>
      </c>
      <c r="E294" t="str">
        <f aca="1">INDEX('[1]Data Export (2)'!$A:$K,MATCH(A294,'[1]Data Export (2)'!$B:$B,0),11)</f>
        <v>Matériel, mobilier et actifs biologiques</v>
      </c>
    </row>
    <row r="295" spans="1:5">
      <c r="A295" t="s">
        <v>973</v>
      </c>
      <c r="B295" t="s">
        <v>974</v>
      </c>
      <c r="C295" t="s">
        <v>975</v>
      </c>
      <c r="D295" s="2" t="n">
        <v>247800</v>
      </c>
      <c r="E295" t="str">
        <f aca="1">INDEX('[1]Data Export (2)'!$A:$K,MATCH(A295,'[1]Data Export (2)'!$B:$B,0),11)</f>
        <v>Matériel, mobilier et actifs biologiques</v>
      </c>
    </row>
    <row r="296" spans="1:5">
      <c r="A296" t="s">
        <v>976</v>
      </c>
      <c r="B296" t="s">
        <v>977</v>
      </c>
      <c r="C296" t="s">
        <v>978</v>
      </c>
      <c r="D296" s="2" t="n">
        <v>248000</v>
      </c>
      <c r="E296" t="str">
        <f aca="1">INDEX('[1]Data Export (2)'!$A:$K,MATCH(A296,'[1]Data Export (2)'!$B:$B,0),11)</f>
        <v>Matériel, mobilier et actifs biologiques</v>
      </c>
    </row>
    <row r="297" spans="1:5">
      <c r="A297" t="s">
        <v>979</v>
      </c>
      <c r="B297" t="s">
        <v>980</v>
      </c>
      <c r="C297" t="s">
        <v>981</v>
      </c>
      <c r="D297" s="2" t="n">
        <v>248100</v>
      </c>
      <c r="E297" t="str">
        <f aca="1">INDEX('[1]Data Export (2)'!$A:$K,MATCH(A297,'[1]Data Export (2)'!$B:$B,0),11)</f>
        <v>Matériel, mobilier et actifs biologiques</v>
      </c>
    </row>
    <row r="298" spans="1:5">
      <c r="A298" t="s">
        <v>982</v>
      </c>
      <c r="B298" t="s">
        <v>983</v>
      </c>
      <c r="C298" t="s">
        <v>984</v>
      </c>
      <c r="D298" s="2" t="n">
        <v>248800</v>
      </c>
      <c r="E298" t="str">
        <f aca="1">INDEX('[1]Data Export (2)'!$A:$K,MATCH(A298,'[1]Data Export (2)'!$B:$B,0),11)</f>
        <v>Matériel, mobilier et actifs biologiques</v>
      </c>
    </row>
    <row r="299" spans="1:5">
      <c r="A299" t="s">
        <v>985</v>
      </c>
      <c r="B299" t="s">
        <v>986</v>
      </c>
      <c r="C299" t="s">
        <v>987</v>
      </c>
      <c r="D299" s="2" t="n">
        <v>249000</v>
      </c>
      <c r="E299" t="str">
        <f aca="1">INDEX('[1]Data Export (2)'!$A:$K,MATCH(A299,'[1]Data Export (2)'!$B:$B,0),11)</f>
        <v>Matériel, mobilier et actifs biologiques</v>
      </c>
    </row>
    <row r="300" spans="1:5">
      <c r="A300" t="s">
        <v>988</v>
      </c>
      <c r="B300" t="s">
        <v>989</v>
      </c>
      <c r="C300" t="s">
        <v>990</v>
      </c>
      <c r="D300" s="2" t="n">
        <v>249100</v>
      </c>
      <c r="E300" t="str">
        <f aca="1">INDEX('[1]Data Export (2)'!$A:$K,MATCH(A300,'[1]Data Export (2)'!$B:$B,0),11)</f>
        <v>Matériel, mobilier et actifs biologiques</v>
      </c>
    </row>
    <row r="301" spans="1:5">
      <c r="A301" t="s">
        <v>991</v>
      </c>
      <c r="B301" t="s">
        <v>992</v>
      </c>
      <c r="C301" t="s">
        <v>993</v>
      </c>
      <c r="D301" s="2" t="n">
        <v>249200</v>
      </c>
      <c r="E301" t="str">
        <f aca="1">INDEX('[1]Data Export (2)'!$A:$K,MATCH(A301,'[1]Data Export (2)'!$B:$B,0),11)</f>
        <v>Matériel, mobilier et actifs biologiques</v>
      </c>
    </row>
    <row r="302" spans="1:5">
      <c r="A302" t="s">
        <v>994</v>
      </c>
      <c r="B302" t="s">
        <v>995</v>
      </c>
      <c r="C302" t="s">
        <v>996</v>
      </c>
      <c r="D302" s="2" t="n">
        <v>249300</v>
      </c>
      <c r="E302" t="str">
        <f aca="1">INDEX('[1]Data Export (2)'!$A:$K,MATCH(A302,'[1]Data Export (2)'!$B:$B,0),11)</f>
        <v>Matériel, mobilier et actifs biologiques</v>
      </c>
    </row>
    <row r="303" spans="1:5">
      <c r="A303" t="s">
        <v>997</v>
      </c>
      <c r="B303" t="s">
        <v>998</v>
      </c>
      <c r="C303" t="s">
        <v>999</v>
      </c>
      <c r="D303" s="2" t="n">
        <v>249400</v>
      </c>
      <c r="E303" t="str">
        <f aca="1">INDEX('[1]Data Export (2)'!$A:$K,MATCH(A303,'[1]Data Export (2)'!$B:$B,0),11)</f>
        <v>Matériel, mobilier et actifs biologiques</v>
      </c>
    </row>
    <row r="304" spans="1:5">
      <c r="A304" t="s">
        <v>1000</v>
      </c>
      <c r="B304" t="s">
        <v>1001</v>
      </c>
      <c r="C304" t="s">
        <v>1002</v>
      </c>
      <c r="D304" s="2" t="n">
        <v>249500</v>
      </c>
      <c r="E304" t="str">
        <f aca="1">INDEX('[1]Data Export (2)'!$A:$K,MATCH(A304,'[1]Data Export (2)'!$B:$B,0),11)</f>
        <v>Matériel de transport</v>
      </c>
    </row>
    <row r="305" spans="1:5">
      <c r="A305" t="s">
        <v>1003</v>
      </c>
      <c r="B305" t="s">
        <v>1004</v>
      </c>
      <c r="C305" t="s">
        <v>1005</v>
      </c>
      <c r="D305" s="2" t="n">
        <v>249600</v>
      </c>
      <c r="E305" t="str">
        <f aca="1">INDEX('[1]Data Export (2)'!$A:$K,MATCH(A305,'[1]Data Export (2)'!$B:$B,0),11)</f>
        <v>Matériel, mobilier et actifs biologiques</v>
      </c>
    </row>
    <row r="306" spans="1:5">
      <c r="A306" t="s">
        <v>1006</v>
      </c>
      <c r="B306" t="s">
        <v>1007</v>
      </c>
      <c r="C306" t="s">
        <v>1008</v>
      </c>
      <c r="D306" s="2" t="n">
        <v>249700</v>
      </c>
      <c r="E306" t="str">
        <f aca="1">INDEX('[1]Data Export (2)'!$A:$K,MATCH(A306,'[1]Data Export (2)'!$B:$B,0),11)</f>
        <v>Matériel, mobilier et actifs biologiques</v>
      </c>
    </row>
    <row r="307" spans="1:5">
      <c r="A307" t="s">
        <v>1009</v>
      </c>
      <c r="B307" t="s">
        <v>1010</v>
      </c>
      <c r="C307" t="s">
        <v>1011</v>
      </c>
      <c r="D307" s="2" t="n">
        <v>249800</v>
      </c>
      <c r="E307" t="str">
        <f aca="1">INDEX('[1]Data Export (2)'!$A:$K,MATCH(A307,'[1]Data Export (2)'!$B:$B,0),11)</f>
        <v>Matériel, mobilier et actifs biologiques</v>
      </c>
    </row>
    <row r="308" spans="1:4">
      <c r="A308" t="s">
        <v>1012</v>
      </c>
      <c r="B308" t="s">
        <v>1013</v>
      </c>
      <c r="C308" t="s">
        <v>1014</v>
      </c>
      <c r="D308" s="2" t="n">
        <v>25</v>
      </c>
    </row>
    <row r="309" spans="1:5">
      <c r="A309" t="s">
        <v>1015</v>
      </c>
      <c r="B309" t="s">
        <v>1016</v>
      </c>
      <c r="C309" t="s">
        <v>1017</v>
      </c>
      <c r="D309" s="2" t="n">
        <v>251000</v>
      </c>
      <c r="E309" t="str">
        <f aca="1">INDEX('[1]Data Export (2)'!$A:$K,MATCH(A309,'[1]Data Export (2)'!$B:$B,0),11)</f>
        <v>Avances et acomptes versés sur immobilisations</v>
      </c>
    </row>
    <row r="310" spans="1:5">
      <c r="A310" t="s">
        <v>1018</v>
      </c>
      <c r="B310" t="s">
        <v>1019</v>
      </c>
      <c r="C310" t="s">
        <v>1020</v>
      </c>
      <c r="D310" s="2" t="n">
        <v>252000</v>
      </c>
      <c r="E310" t="str">
        <f aca="1">INDEX('[1]Data Export (2)'!$A:$K,MATCH(A310,'[1]Data Export (2)'!$B:$B,0),11)</f>
        <v>Avances et acomptes versés sur immobilisations</v>
      </c>
    </row>
    <row r="311" spans="1:4">
      <c r="A311" t="s">
        <v>1021</v>
      </c>
      <c r="B311" t="s">
        <v>1022</v>
      </c>
      <c r="C311" t="s">
        <v>1023</v>
      </c>
      <c r="D311" s="2" t="n">
        <v>26</v>
      </c>
    </row>
    <row r="312" spans="1:5">
      <c r="A312" t="s">
        <v>1024</v>
      </c>
      <c r="B312" t="s">
        <v>1025</v>
      </c>
      <c r="C312" t="s">
        <v>1026</v>
      </c>
      <c r="D312" s="2" t="n">
        <v>261000</v>
      </c>
      <c r="E312" t="str">
        <f aca="1">INDEX('[1]Data Export (2)'!$A:$K,MATCH(A312,'[1]Data Export (2)'!$B:$B,0),11)</f>
        <v>Titres de participation</v>
      </c>
    </row>
    <row r="313" spans="1:5">
      <c r="A313" t="s">
        <v>1027</v>
      </c>
      <c r="B313" t="s">
        <v>1028</v>
      </c>
      <c r="C313" t="s">
        <v>1029</v>
      </c>
      <c r="D313" s="2" t="n">
        <v>262000</v>
      </c>
      <c r="E313" t="str">
        <f aca="1">INDEX('[1]Data Export (2)'!$A:$K,MATCH(A313,'[1]Data Export (2)'!$B:$B,0),11)</f>
        <v>Titres de participation</v>
      </c>
    </row>
    <row r="314" spans="1:5">
      <c r="A314" t="s">
        <v>1030</v>
      </c>
      <c r="B314" t="s">
        <v>1031</v>
      </c>
      <c r="C314" t="s">
        <v>1032</v>
      </c>
      <c r="D314" s="2" t="n">
        <v>263000</v>
      </c>
      <c r="E314" t="str">
        <f aca="1">INDEX('[1]Data Export (2)'!$A:$K,MATCH(A314,'[1]Data Export (2)'!$B:$B,0),11)</f>
        <v>Titres de participation</v>
      </c>
    </row>
    <row r="315" spans="1:5">
      <c r="A315" t="s">
        <v>1033</v>
      </c>
      <c r="B315" t="s">
        <v>1034</v>
      </c>
      <c r="C315" t="s">
        <v>1035</v>
      </c>
      <c r="D315" s="2" t="n">
        <v>265000</v>
      </c>
      <c r="E315" t="str">
        <f aca="1">INDEX('[1]Data Export (2)'!$A:$K,MATCH(A315,'[1]Data Export (2)'!$B:$B,0),11)</f>
        <v>Titres de participation</v>
      </c>
    </row>
    <row r="316" spans="1:5">
      <c r="A316" t="s">
        <v>1036</v>
      </c>
      <c r="B316" t="s">
        <v>1037</v>
      </c>
      <c r="C316" t="s">
        <v>1038</v>
      </c>
      <c r="D316" s="2" t="n">
        <v>266000</v>
      </c>
      <c r="E316" t="str">
        <f aca="1">INDEX('[1]Data Export (2)'!$A:$K,MATCH(A316,'[1]Data Export (2)'!$B:$B,0),11)</f>
        <v>Titres de participation</v>
      </c>
    </row>
    <row r="317" spans="1:5">
      <c r="A317" t="s">
        <v>1039</v>
      </c>
      <c r="B317" t="s">
        <v>1040</v>
      </c>
      <c r="C317" t="s">
        <v>1041</v>
      </c>
      <c r="D317" s="2" t="n">
        <v>268000</v>
      </c>
      <c r="E317" t="str">
        <f aca="1">INDEX('[1]Data Export (2)'!$A:$K,MATCH(A317,'[1]Data Export (2)'!$B:$B,0),11)</f>
        <v>Titres de participation</v>
      </c>
    </row>
    <row r="318" spans="1:4">
      <c r="A318" t="s">
        <v>1042</v>
      </c>
      <c r="B318" t="s">
        <v>1043</v>
      </c>
      <c r="C318" t="s">
        <v>1044</v>
      </c>
      <c r="D318" s="2" t="n">
        <v>27</v>
      </c>
    </row>
    <row r="319" spans="1:5">
      <c r="A319" t="s">
        <v>1045</v>
      </c>
      <c r="B319" t="s">
        <v>1046</v>
      </c>
      <c r="C319" t="s">
        <v>1047</v>
      </c>
      <c r="D319" s="2" t="n">
        <v>271000</v>
      </c>
      <c r="E319" t="str">
        <f aca="1">INDEX('[1]Data Export (2)'!$A:$K,MATCH(A319,'[1]Data Export (2)'!$B:$B,0),11)</f>
        <v>Autres immobilisations financières</v>
      </c>
    </row>
    <row r="320" spans="1:5">
      <c r="A320" t="s">
        <v>1048</v>
      </c>
      <c r="B320" t="s">
        <v>1049</v>
      </c>
      <c r="C320" t="s">
        <v>1050</v>
      </c>
      <c r="D320" s="2" t="n">
        <v>271100</v>
      </c>
      <c r="E320" t="str">
        <f aca="1">INDEX('[1]Data Export (2)'!$A:$K,MATCH(A320,'[1]Data Export (2)'!$B:$B,0),11)</f>
        <v>Autres immobilisations financières</v>
      </c>
    </row>
    <row r="321" spans="1:5">
      <c r="A321" t="s">
        <v>1051</v>
      </c>
      <c r="B321" t="s">
        <v>1052</v>
      </c>
      <c r="C321" t="s">
        <v>1053</v>
      </c>
      <c r="D321" s="2" t="n">
        <v>271200</v>
      </c>
      <c r="E321" t="str">
        <f aca="1">INDEX('[1]Data Export (2)'!$A:$K,MATCH(A321,'[1]Data Export (2)'!$B:$B,0),11)</f>
        <v>Autres immobilisations financières</v>
      </c>
    </row>
    <row r="322" spans="1:5">
      <c r="A322" t="s">
        <v>1054</v>
      </c>
      <c r="B322" t="s">
        <v>1055</v>
      </c>
      <c r="C322" t="s">
        <v>1056</v>
      </c>
      <c r="D322" s="2" t="n">
        <v>271300</v>
      </c>
      <c r="E322" t="str">
        <f aca="1">INDEX('[1]Data Export (2)'!$A:$K,MATCH(A322,'[1]Data Export (2)'!$B:$B,0),11)</f>
        <v>Autres immobilisations financières</v>
      </c>
    </row>
    <row r="323" spans="1:5">
      <c r="A323" t="s">
        <v>1057</v>
      </c>
      <c r="B323" t="s">
        <v>1058</v>
      </c>
      <c r="C323" t="s">
        <v>1059</v>
      </c>
      <c r="D323" s="2" t="n">
        <v>271400</v>
      </c>
      <c r="E323" t="str">
        <f aca="1">INDEX('[1]Data Export (2)'!$A:$K,MATCH(A323,'[1]Data Export (2)'!$B:$B,0),11)</f>
        <v>Autres immobilisations financières</v>
      </c>
    </row>
    <row r="324" spans="1:5">
      <c r="A324" t="s">
        <v>1060</v>
      </c>
      <c r="B324" t="s">
        <v>1061</v>
      </c>
      <c r="C324" t="s">
        <v>1062</v>
      </c>
      <c r="D324" s="2" t="n">
        <v>271800</v>
      </c>
      <c r="E324" t="str">
        <f aca="1">INDEX('[1]Data Export (2)'!$A:$K,MATCH(A324,'[1]Data Export (2)'!$B:$B,0),11)</f>
        <v>Autres immobilisations financières</v>
      </c>
    </row>
    <row r="325" spans="1:5">
      <c r="A325" t="s">
        <v>1063</v>
      </c>
      <c r="B325" t="s">
        <v>1064</v>
      </c>
      <c r="C325" t="s">
        <v>1065</v>
      </c>
      <c r="D325" s="2" t="n">
        <v>272000</v>
      </c>
      <c r="E325" t="str">
        <f aca="1">INDEX('[1]Data Export (2)'!$A:$K,MATCH(A325,'[1]Data Export (2)'!$B:$B,0),11)</f>
        <v>Autres immobilisations financières</v>
      </c>
    </row>
    <row r="326" spans="1:5">
      <c r="A326" t="s">
        <v>1066</v>
      </c>
      <c r="B326" t="s">
        <v>1067</v>
      </c>
      <c r="C326" t="s">
        <v>1068</v>
      </c>
      <c r="D326" s="2" t="n">
        <v>272100</v>
      </c>
      <c r="E326" t="str">
        <f aca="1">INDEX('[1]Data Export (2)'!$A:$K,MATCH(A326,'[1]Data Export (2)'!$B:$B,0),11)</f>
        <v>Autres immobilisations financières</v>
      </c>
    </row>
    <row r="327" spans="1:5">
      <c r="A327" t="s">
        <v>1069</v>
      </c>
      <c r="B327" t="s">
        <v>1070</v>
      </c>
      <c r="C327" t="s">
        <v>1071</v>
      </c>
      <c r="D327" s="2" t="n">
        <v>272200</v>
      </c>
      <c r="E327" t="str">
        <f aca="1">INDEX('[1]Data Export (2)'!$A:$K,MATCH(A327,'[1]Data Export (2)'!$B:$B,0),11)</f>
        <v>Autres immobilisations financières</v>
      </c>
    </row>
    <row r="328" spans="1:5">
      <c r="A328" t="s">
        <v>1072</v>
      </c>
      <c r="B328" t="s">
        <v>1073</v>
      </c>
      <c r="C328" t="s">
        <v>1074</v>
      </c>
      <c r="D328" s="2" t="n">
        <v>272800</v>
      </c>
      <c r="E328" t="str">
        <f aca="1">INDEX('[1]Data Export (2)'!$A:$K,MATCH(A328,'[1]Data Export (2)'!$B:$B,0),11)</f>
        <v>Autres immobilisations financières</v>
      </c>
    </row>
    <row r="329" spans="1:5">
      <c r="A329" t="s">
        <v>1075</v>
      </c>
      <c r="B329" t="s">
        <v>1076</v>
      </c>
      <c r="C329" t="s">
        <v>1077</v>
      </c>
      <c r="D329" s="2" t="n">
        <v>273000</v>
      </c>
      <c r="E329" t="str">
        <f aca="1">INDEX('[1]Data Export (2)'!$A:$K,MATCH(A329,'[1]Data Export (2)'!$B:$B,0),11)</f>
        <v>Autres immobilisations financières</v>
      </c>
    </row>
    <row r="330" spans="1:5">
      <c r="A330" t="s">
        <v>1078</v>
      </c>
      <c r="B330" t="s">
        <v>1079</v>
      </c>
      <c r="C330" t="s">
        <v>1080</v>
      </c>
      <c r="D330" s="2" t="n">
        <v>273100</v>
      </c>
      <c r="E330" t="str">
        <f aca="1">INDEX('[1]Data Export (2)'!$A:$K,MATCH(A330,'[1]Data Export (2)'!$B:$B,0),11)</f>
        <v>Autres immobilisations financières</v>
      </c>
    </row>
    <row r="331" spans="1:5">
      <c r="A331" t="s">
        <v>1081</v>
      </c>
      <c r="B331" t="s">
        <v>1082</v>
      </c>
      <c r="C331" t="s">
        <v>1083</v>
      </c>
      <c r="D331" s="2" t="n">
        <v>273300</v>
      </c>
      <c r="E331" t="str">
        <f aca="1">INDEX('[1]Data Export (2)'!$A:$K,MATCH(A331,'[1]Data Export (2)'!$B:$B,0),11)</f>
        <v>Autres immobilisations financières</v>
      </c>
    </row>
    <row r="332" spans="1:5">
      <c r="A332" t="s">
        <v>1084</v>
      </c>
      <c r="B332" t="s">
        <v>1085</v>
      </c>
      <c r="C332" t="s">
        <v>1086</v>
      </c>
      <c r="D332" s="2" t="n">
        <v>273400</v>
      </c>
      <c r="E332" t="str">
        <f aca="1">INDEX('[1]Data Export (2)'!$A:$K,MATCH(A332,'[1]Data Export (2)'!$B:$B,0),11)</f>
        <v>Autres immobilisations financières</v>
      </c>
    </row>
    <row r="333" spans="1:5">
      <c r="A333" t="s">
        <v>1087</v>
      </c>
      <c r="B333" t="s">
        <v>1088</v>
      </c>
      <c r="C333" t="s">
        <v>1089</v>
      </c>
      <c r="D333" s="2" t="n">
        <v>273800</v>
      </c>
      <c r="E333" t="str">
        <f aca="1">INDEX('[1]Data Export (2)'!$A:$K,MATCH(A333,'[1]Data Export (2)'!$B:$B,0),11)</f>
        <v>Autres immobilisations financières</v>
      </c>
    </row>
    <row r="334" spans="1:5">
      <c r="A334" t="s">
        <v>1090</v>
      </c>
      <c r="B334" t="s">
        <v>1091</v>
      </c>
      <c r="C334" t="s">
        <v>1092</v>
      </c>
      <c r="D334" s="2" t="n">
        <v>274000</v>
      </c>
      <c r="E334" t="str">
        <f aca="1">INDEX('[1]Data Export (2)'!$A:$K,MATCH(A334,'[1]Data Export (2)'!$B:$B,0),11)</f>
        <v>Autres immobilisations financières</v>
      </c>
    </row>
    <row r="335" spans="1:5">
      <c r="A335" t="s">
        <v>1093</v>
      </c>
      <c r="B335" t="s">
        <v>1094</v>
      </c>
      <c r="C335" t="s">
        <v>1095</v>
      </c>
      <c r="D335" s="2" t="n">
        <v>274100</v>
      </c>
      <c r="E335" t="str">
        <f aca="1">INDEX('[1]Data Export (2)'!$A:$K,MATCH(A335,'[1]Data Export (2)'!$B:$B,0),11)</f>
        <v>Autres immobilisations financières</v>
      </c>
    </row>
    <row r="336" spans="1:5">
      <c r="A336" t="s">
        <v>1096</v>
      </c>
      <c r="B336" t="s">
        <v>1097</v>
      </c>
      <c r="C336" t="s">
        <v>1098</v>
      </c>
      <c r="D336" s="2" t="n">
        <v>274200</v>
      </c>
      <c r="E336" t="str">
        <f aca="1">INDEX('[1]Data Export (2)'!$A:$K,MATCH(A336,'[1]Data Export (2)'!$B:$B,0),11)</f>
        <v>Autres immobilisations financières</v>
      </c>
    </row>
    <row r="337" spans="1:5">
      <c r="A337" t="s">
        <v>1099</v>
      </c>
      <c r="B337" t="s">
        <v>1100</v>
      </c>
      <c r="C337" t="s">
        <v>1101</v>
      </c>
      <c r="D337" s="2" t="n">
        <v>274300</v>
      </c>
      <c r="E337" t="str">
        <f aca="1">INDEX('[1]Data Export (2)'!$A:$K,MATCH(A337,'[1]Data Export (2)'!$B:$B,0),11)</f>
        <v>Autres immobilisations financières</v>
      </c>
    </row>
    <row r="338" spans="1:5">
      <c r="A338" t="s">
        <v>1102</v>
      </c>
      <c r="B338" t="s">
        <v>1103</v>
      </c>
      <c r="C338" t="s">
        <v>1104</v>
      </c>
      <c r="D338" s="2" t="n">
        <v>274400</v>
      </c>
      <c r="E338" t="str">
        <f aca="1">INDEX('[1]Data Export (2)'!$A:$K,MATCH(A338,'[1]Data Export (2)'!$B:$B,0),11)</f>
        <v>Autres immobilisations financières</v>
      </c>
    </row>
    <row r="339" spans="1:5">
      <c r="A339" t="s">
        <v>1105</v>
      </c>
      <c r="B339" t="s">
        <v>1106</v>
      </c>
      <c r="C339" t="s">
        <v>1107</v>
      </c>
      <c r="D339" s="2" t="n">
        <v>274500</v>
      </c>
      <c r="E339" t="str">
        <f aca="1">INDEX('[1]Data Export (2)'!$A:$K,MATCH(A339,'[1]Data Export (2)'!$B:$B,0),11)</f>
        <v>Autres immobilisations financières</v>
      </c>
    </row>
    <row r="340" spans="1:5">
      <c r="A340" t="s">
        <v>1108</v>
      </c>
      <c r="B340" t="s">
        <v>1109</v>
      </c>
      <c r="C340" t="s">
        <v>1110</v>
      </c>
      <c r="D340" s="2" t="n">
        <v>274600</v>
      </c>
      <c r="E340" t="str">
        <f aca="1">INDEX('[1]Data Export (2)'!$A:$K,MATCH(A340,'[1]Data Export (2)'!$B:$B,0),11)</f>
        <v>Autres immobilisations financières</v>
      </c>
    </row>
    <row r="341" spans="1:5">
      <c r="A341" t="s">
        <v>1111</v>
      </c>
      <c r="B341" t="s">
        <v>1112</v>
      </c>
      <c r="C341" t="s">
        <v>1113</v>
      </c>
      <c r="D341" s="2" t="n">
        <v>274800</v>
      </c>
      <c r="E341" t="str">
        <f aca="1">INDEX('[1]Data Export (2)'!$A:$K,MATCH(A341,'[1]Data Export (2)'!$B:$B,0),11)</f>
        <v>Autres immobilisations financières</v>
      </c>
    </row>
    <row r="342" spans="1:5">
      <c r="A342" t="s">
        <v>1114</v>
      </c>
      <c r="B342" t="s">
        <v>1115</v>
      </c>
      <c r="C342" t="s">
        <v>1116</v>
      </c>
      <c r="D342" s="2" t="n">
        <v>275000</v>
      </c>
      <c r="E342" t="str">
        <f aca="1">INDEX('[1]Data Export (2)'!$A:$K,MATCH(A342,'[1]Data Export (2)'!$B:$B,0),11)</f>
        <v>Autres immobilisations financières</v>
      </c>
    </row>
    <row r="343" spans="1:5">
      <c r="A343" t="s">
        <v>1117</v>
      </c>
      <c r="B343" t="s">
        <v>1118</v>
      </c>
      <c r="C343" t="s">
        <v>1119</v>
      </c>
      <c r="D343" s="2" t="n">
        <v>275100</v>
      </c>
      <c r="E343" t="str">
        <f aca="1">INDEX('[1]Data Export (2)'!$A:$K,MATCH(A343,'[1]Data Export (2)'!$B:$B,0),11)</f>
        <v>Autres immobilisations financières</v>
      </c>
    </row>
    <row r="344" spans="1:5">
      <c r="A344" t="s">
        <v>1120</v>
      </c>
      <c r="B344" t="s">
        <v>1121</v>
      </c>
      <c r="C344" t="s">
        <v>1122</v>
      </c>
      <c r="D344" s="2" t="n">
        <v>275200</v>
      </c>
      <c r="E344" t="str">
        <f aca="1">INDEX('[1]Data Export (2)'!$A:$K,MATCH(A344,'[1]Data Export (2)'!$B:$B,0),11)</f>
        <v>Autres immobilisations financières</v>
      </c>
    </row>
    <row r="345" spans="1:5">
      <c r="A345" t="s">
        <v>1123</v>
      </c>
      <c r="B345" t="s">
        <v>1124</v>
      </c>
      <c r="C345" t="s">
        <v>1125</v>
      </c>
      <c r="D345" s="2" t="n">
        <v>275300</v>
      </c>
      <c r="E345" t="str">
        <f aca="1">INDEX('[1]Data Export (2)'!$A:$K,MATCH(A345,'[1]Data Export (2)'!$B:$B,0),11)</f>
        <v>Autres immobilisations financières</v>
      </c>
    </row>
    <row r="346" spans="1:5">
      <c r="A346" t="s">
        <v>1126</v>
      </c>
      <c r="B346" t="s">
        <v>1127</v>
      </c>
      <c r="C346" t="s">
        <v>1128</v>
      </c>
      <c r="D346" s="2" t="n">
        <v>275400</v>
      </c>
      <c r="E346" t="str">
        <f aca="1">INDEX('[1]Data Export (2)'!$A:$K,MATCH(A346,'[1]Data Export (2)'!$B:$B,0),11)</f>
        <v>Autres immobilisations financières</v>
      </c>
    </row>
    <row r="347" spans="1:5">
      <c r="A347" t="s">
        <v>1129</v>
      </c>
      <c r="B347" t="s">
        <v>1130</v>
      </c>
      <c r="C347" t="s">
        <v>1131</v>
      </c>
      <c r="D347" s="2" t="n">
        <v>275500</v>
      </c>
      <c r="E347" t="str">
        <f aca="1">INDEX('[1]Data Export (2)'!$A:$K,MATCH(A347,'[1]Data Export (2)'!$B:$B,0),11)</f>
        <v>Autres immobilisations financières</v>
      </c>
    </row>
    <row r="348" spans="1:5">
      <c r="A348" t="s">
        <v>1132</v>
      </c>
      <c r="B348" t="s">
        <v>1133</v>
      </c>
      <c r="C348" t="s">
        <v>1134</v>
      </c>
      <c r="D348" s="2" t="n">
        <v>275600</v>
      </c>
      <c r="E348" t="str">
        <f aca="1">INDEX('[1]Data Export (2)'!$A:$K,MATCH(A348,'[1]Data Export (2)'!$B:$B,0),11)</f>
        <v>Autres immobilisations financières</v>
      </c>
    </row>
    <row r="349" spans="1:5">
      <c r="A349" t="s">
        <v>1135</v>
      </c>
      <c r="B349" t="s">
        <v>1136</v>
      </c>
      <c r="C349" t="s">
        <v>1137</v>
      </c>
      <c r="D349" s="2" t="n">
        <v>275700</v>
      </c>
      <c r="E349" t="str">
        <f aca="1">INDEX('[1]Data Export (2)'!$A:$K,MATCH(A349,'[1]Data Export (2)'!$B:$B,0),11)</f>
        <v>Autres immobilisations financières</v>
      </c>
    </row>
    <row r="350" spans="1:5">
      <c r="A350" t="s">
        <v>1138</v>
      </c>
      <c r="B350" t="s">
        <v>1139</v>
      </c>
      <c r="C350" t="s">
        <v>1140</v>
      </c>
      <c r="D350" s="2" t="n">
        <v>275800</v>
      </c>
      <c r="E350" t="str">
        <f aca="1">INDEX('[1]Data Export (2)'!$A:$K,MATCH(A350,'[1]Data Export (2)'!$B:$B,0),11)</f>
        <v>Autres immobilisations financières</v>
      </c>
    </row>
    <row r="351" spans="1:5">
      <c r="A351" t="s">
        <v>1141</v>
      </c>
      <c r="B351" t="s">
        <v>1142</v>
      </c>
      <c r="C351" t="s">
        <v>1143</v>
      </c>
      <c r="D351" s="2" t="n">
        <v>276000</v>
      </c>
      <c r="E351" t="str">
        <f aca="1">INDEX('[1]Data Export (2)'!$A:$K,MATCH(A351,'[1]Data Export (2)'!$B:$B,0),11)</f>
        <v>Autres immobilisations financières</v>
      </c>
    </row>
    <row r="352" spans="1:5">
      <c r="A352" t="s">
        <v>1144</v>
      </c>
      <c r="B352" t="s">
        <v>1145</v>
      </c>
      <c r="C352" t="s">
        <v>1146</v>
      </c>
      <c r="D352" s="2" t="n">
        <v>276100</v>
      </c>
      <c r="E352" t="str">
        <f aca="1">INDEX('[1]Data Export (2)'!$A:$K,MATCH(A352,'[1]Data Export (2)'!$B:$B,0),11)</f>
        <v>Autres immobilisations financières</v>
      </c>
    </row>
    <row r="353" spans="1:5">
      <c r="A353" t="s">
        <v>1147</v>
      </c>
      <c r="B353" t="s">
        <v>1148</v>
      </c>
      <c r="C353" t="s">
        <v>1149</v>
      </c>
      <c r="D353" s="2" t="n">
        <v>276200</v>
      </c>
      <c r="E353" t="str">
        <f aca="1">INDEX('[1]Data Export (2)'!$A:$K,MATCH(A353,'[1]Data Export (2)'!$B:$B,0),11)</f>
        <v>Autres immobilisations financières</v>
      </c>
    </row>
    <row r="354" spans="1:5">
      <c r="A354" t="s">
        <v>1150</v>
      </c>
      <c r="B354" t="s">
        <v>1151</v>
      </c>
      <c r="C354" t="s">
        <v>1152</v>
      </c>
      <c r="D354" s="2" t="n">
        <v>276300</v>
      </c>
      <c r="E354" t="str">
        <f aca="1">INDEX('[1]Data Export (2)'!$A:$K,MATCH(A354,'[1]Data Export (2)'!$B:$B,0),11)</f>
        <v>Autres immobilisations financières</v>
      </c>
    </row>
    <row r="355" spans="1:5">
      <c r="A355" t="s">
        <v>1153</v>
      </c>
      <c r="B355" t="s">
        <v>1154</v>
      </c>
      <c r="C355" t="s">
        <v>1155</v>
      </c>
      <c r="D355" s="2" t="n">
        <v>276400</v>
      </c>
      <c r="E355" t="str">
        <f aca="1">INDEX('[1]Data Export (2)'!$A:$K,MATCH(A355,'[1]Data Export (2)'!$B:$B,0),11)</f>
        <v>Autres immobilisations financières</v>
      </c>
    </row>
    <row r="356" spans="1:5">
      <c r="A356" t="s">
        <v>1156</v>
      </c>
      <c r="B356" t="s">
        <v>1157</v>
      </c>
      <c r="C356" t="s">
        <v>1158</v>
      </c>
      <c r="D356" s="2" t="n">
        <v>276500</v>
      </c>
      <c r="E356" t="str">
        <f aca="1">INDEX('[1]Data Export (2)'!$A:$K,MATCH(A356,'[1]Data Export (2)'!$B:$B,0),11)</f>
        <v>Autres immobilisations financières</v>
      </c>
    </row>
    <row r="357" spans="1:5">
      <c r="A357" t="s">
        <v>1159</v>
      </c>
      <c r="B357" t="s">
        <v>1160</v>
      </c>
      <c r="C357" t="s">
        <v>1161</v>
      </c>
      <c r="D357" s="2" t="n">
        <v>276700</v>
      </c>
      <c r="E357" t="str">
        <f aca="1">INDEX('[1]Data Export (2)'!$A:$K,MATCH(A357,'[1]Data Export (2)'!$B:$B,0),11)</f>
        <v>Autres immobilisations financières</v>
      </c>
    </row>
    <row r="358" spans="1:5">
      <c r="A358" t="s">
        <v>1162</v>
      </c>
      <c r="B358" t="s">
        <v>1163</v>
      </c>
      <c r="C358" t="s">
        <v>1164</v>
      </c>
      <c r="D358" s="2" t="n">
        <v>276800</v>
      </c>
      <c r="E358" t="str">
        <f aca="1">INDEX('[1]Data Export (2)'!$A:$K,MATCH(A358,'[1]Data Export (2)'!$B:$B,0),11)</f>
        <v>Autres immobilisations financières</v>
      </c>
    </row>
    <row r="359" spans="1:5">
      <c r="A359" t="s">
        <v>1165</v>
      </c>
      <c r="B359" t="s">
        <v>1166</v>
      </c>
      <c r="C359" t="s">
        <v>1167</v>
      </c>
      <c r="D359" s="2" t="n">
        <v>277000</v>
      </c>
      <c r="E359" t="str">
        <f aca="1">INDEX('[1]Data Export (2)'!$A:$K,MATCH(A359,'[1]Data Export (2)'!$B:$B,0),11)</f>
        <v>Autres immobilisations financières</v>
      </c>
    </row>
    <row r="360" spans="1:5">
      <c r="A360" t="s">
        <v>1168</v>
      </c>
      <c r="B360" t="s">
        <v>1169</v>
      </c>
      <c r="C360" t="s">
        <v>1170</v>
      </c>
      <c r="D360" s="2" t="n">
        <v>277100</v>
      </c>
      <c r="E360" t="str">
        <f aca="1">INDEX('[1]Data Export (2)'!$A:$K,MATCH(A360,'[1]Data Export (2)'!$B:$B,0),11)</f>
        <v>Autres immobilisations financières</v>
      </c>
    </row>
    <row r="361" spans="1:5">
      <c r="A361" t="s">
        <v>1171</v>
      </c>
      <c r="B361" t="s">
        <v>1172</v>
      </c>
      <c r="C361" t="s">
        <v>1173</v>
      </c>
      <c r="D361" s="2" t="n">
        <v>277200</v>
      </c>
      <c r="E361" t="str">
        <f aca="1">INDEX('[1]Data Export (2)'!$A:$K,MATCH(A361,'[1]Data Export (2)'!$B:$B,0),11)</f>
        <v>Autres immobilisations financières</v>
      </c>
    </row>
    <row r="362" spans="1:5">
      <c r="A362" t="s">
        <v>1174</v>
      </c>
      <c r="B362" t="s">
        <v>1175</v>
      </c>
      <c r="C362" t="s">
        <v>1176</v>
      </c>
      <c r="D362" s="2" t="n">
        <v>277300</v>
      </c>
      <c r="E362" t="str">
        <f aca="1">INDEX('[1]Data Export (2)'!$A:$K,MATCH(A362,'[1]Data Export (2)'!$B:$B,0),11)</f>
        <v>Autres immobilisations financières</v>
      </c>
    </row>
    <row r="363" spans="1:5">
      <c r="A363" t="s">
        <v>1177</v>
      </c>
      <c r="B363" t="s">
        <v>1178</v>
      </c>
      <c r="C363" t="s">
        <v>1179</v>
      </c>
      <c r="D363" s="2" t="n">
        <v>277400</v>
      </c>
      <c r="E363" t="str">
        <f aca="1">INDEX('[1]Data Export (2)'!$A:$K,MATCH(A363,'[1]Data Export (2)'!$B:$B,0),11)</f>
        <v>Autres immobilisations financières</v>
      </c>
    </row>
    <row r="364" spans="1:5">
      <c r="A364" t="s">
        <v>1180</v>
      </c>
      <c r="B364" t="s">
        <v>1181</v>
      </c>
      <c r="C364" t="s">
        <v>1182</v>
      </c>
      <c r="D364" s="2" t="n">
        <v>278000</v>
      </c>
      <c r="E364" t="str">
        <f aca="1">INDEX('[1]Data Export (2)'!$A:$K,MATCH(A364,'[1]Data Export (2)'!$B:$B,0),11)</f>
        <v>Autres immobilisations financières</v>
      </c>
    </row>
    <row r="365" spans="1:5">
      <c r="A365" t="s">
        <v>1183</v>
      </c>
      <c r="B365" t="s">
        <v>1184</v>
      </c>
      <c r="C365" t="s">
        <v>1185</v>
      </c>
      <c r="D365" s="2" t="n">
        <v>278100</v>
      </c>
      <c r="E365" t="str">
        <f aca="1">INDEX('[1]Data Export (2)'!$A:$K,MATCH(A365,'[1]Data Export (2)'!$B:$B,0),11)</f>
        <v>Autres immobilisations financières</v>
      </c>
    </row>
    <row r="366" spans="1:5">
      <c r="A366" t="s">
        <v>1186</v>
      </c>
      <c r="B366" t="s">
        <v>1187</v>
      </c>
      <c r="C366" t="s">
        <v>1188</v>
      </c>
      <c r="D366" s="2" t="n">
        <v>278200</v>
      </c>
      <c r="E366" t="str">
        <f aca="1">INDEX('[1]Data Export (2)'!$A:$K,MATCH(A366,'[1]Data Export (2)'!$B:$B,0),11)</f>
        <v>Autres immobilisations financières</v>
      </c>
    </row>
    <row r="367" spans="1:5">
      <c r="A367" t="s">
        <v>1189</v>
      </c>
      <c r="B367" t="s">
        <v>1190</v>
      </c>
      <c r="C367" t="s">
        <v>1191</v>
      </c>
      <c r="D367" s="2" t="n">
        <v>278400</v>
      </c>
      <c r="E367" t="str">
        <f aca="1">INDEX('[1]Data Export (2)'!$A:$K,MATCH(A367,'[1]Data Export (2)'!$B:$B,0),11)</f>
        <v>Autres immobilisations financières</v>
      </c>
    </row>
    <row r="368" spans="1:5">
      <c r="A368" t="s">
        <v>1192</v>
      </c>
      <c r="B368" t="s">
        <v>1193</v>
      </c>
      <c r="C368" t="s">
        <v>1194</v>
      </c>
      <c r="D368" s="2" t="n">
        <v>278500</v>
      </c>
      <c r="E368" t="str">
        <f aca="1">INDEX('[1]Data Export (2)'!$A:$K,MATCH(A368,'[1]Data Export (2)'!$B:$B,0),11)</f>
        <v>Autres immobilisations financières</v>
      </c>
    </row>
    <row r="369" spans="1:5">
      <c r="A369" t="s">
        <v>1195</v>
      </c>
      <c r="B369" t="s">
        <v>1196</v>
      </c>
      <c r="C369" t="s">
        <v>1197</v>
      </c>
      <c r="D369" s="2" t="n">
        <v>278800</v>
      </c>
      <c r="E369" t="str">
        <f aca="1">INDEX('[1]Data Export (2)'!$A:$K,MATCH(A369,'[1]Data Export (2)'!$B:$B,0),11)</f>
        <v>Autres immobilisations financières</v>
      </c>
    </row>
    <row r="370" spans="1:6">
      <c r="A370" t="s">
        <v>1198</v>
      </c>
      <c r="B370" t="s">
        <v>1199</v>
      </c>
      <c r="C370" t="s">
        <v>1200</v>
      </c>
      <c r="D370" s="2" t="n">
        <v>28</v>
      </c>
      <c r="F370" t="s">
        <v>1201</v>
      </c>
    </row>
    <row r="371" spans="1:6">
      <c r="A371" t="s">
        <v>1202</v>
      </c>
      <c r="B371" t="s">
        <v>1203</v>
      </c>
      <c r="C371" t="s">
        <v>1204</v>
      </c>
      <c r="D371" s="2" t="n">
        <v>281000</v>
      </c>
      <c r="E371" t="str">
        <f aca="1">INDEX('[1]Data Export (2)'!$A:$K,MATCH(A371,'[1]Data Export (2)'!$B:$B,0),11)</f>
        <v>Amortissement des immobilisations incorporelles</v>
      </c>
      <c r="F371" t="s">
        <v>1205</v>
      </c>
    </row>
    <row r="372" spans="1:6">
      <c r="A372" t="s">
        <v>1206</v>
      </c>
      <c r="B372" t="s">
        <v>1207</v>
      </c>
      <c r="C372" t="s">
        <v>1208</v>
      </c>
      <c r="D372" s="2" t="n">
        <v>281100</v>
      </c>
      <c r="E372" t="str">
        <f aca="1">INDEX('[1]Data Export (2)'!$A:$K,MATCH(A372,'[1]Data Export (2)'!$B:$B,0),11)</f>
        <v>Amortissements des frais de développement</v>
      </c>
      <c r="F372" t="s">
        <v>1209</v>
      </c>
    </row>
    <row r="373" spans="1:6">
      <c r="A373" t="s">
        <v>1210</v>
      </c>
      <c r="B373" t="s">
        <v>1211</v>
      </c>
      <c r="C373" t="s">
        <v>1212</v>
      </c>
      <c r="D373" s="2" t="n">
        <v>281200</v>
      </c>
      <c r="E373" t="str">
        <f aca="1">INDEX('[1]Data Export (2)'!$A:$K,MATCH(A373,'[1]Data Export (2)'!$B:$B,0),11)</f>
        <v>Amortissements des brevets, licences, concessions et droits similaires</v>
      </c>
      <c r="F373" t="s">
        <v>1213</v>
      </c>
    </row>
    <row r="374" spans="1:6">
      <c r="A374" t="s">
        <v>1214</v>
      </c>
      <c r="B374" t="s">
        <v>1215</v>
      </c>
      <c r="C374" t="s">
        <v>1216</v>
      </c>
      <c r="D374" s="2" t="n">
        <v>281300</v>
      </c>
      <c r="E374" t="str">
        <f aca="1">INDEX('[1]Data Export (2)'!$A:$K,MATCH(A374,'[1]Data Export (2)'!$B:$B,0),11)</f>
        <v>Amortissements des brevets, licences, concessions et droits similaires</v>
      </c>
      <c r="F374" t="s">
        <v>1217</v>
      </c>
    </row>
    <row r="375" spans="1:6">
      <c r="A375" t="s">
        <v>1218</v>
      </c>
      <c r="B375" t="s">
        <v>1219</v>
      </c>
      <c r="C375" t="s">
        <v>1220</v>
      </c>
      <c r="D375" s="2" t="n">
        <v>281400</v>
      </c>
      <c r="E375" t="str">
        <f aca="1">INDEX('[1]Data Export (2)'!$A:$K,MATCH(A375,'[1]Data Export (2)'!$B:$B,0),11)</f>
        <v>Amortissements des brevets, licences, concessions et droits similaires</v>
      </c>
      <c r="F375" t="s">
        <v>1221</v>
      </c>
    </row>
    <row r="376" spans="1:6">
      <c r="A376" t="s">
        <v>1222</v>
      </c>
      <c r="B376" t="s">
        <v>1223</v>
      </c>
      <c r="C376" t="s">
        <v>1224</v>
      </c>
      <c r="D376" s="2" t="n">
        <v>281500</v>
      </c>
      <c r="E376" t="str">
        <f aca="1">INDEX('[1]Data Export (2)'!$A:$K,MATCH(A376,'[1]Data Export (2)'!$B:$B,0),11)</f>
        <v>Amortissements du fonds commercial et du droit au bail</v>
      </c>
      <c r="F376" t="s">
        <v>1225</v>
      </c>
    </row>
    <row r="377" spans="1:6">
      <c r="A377" t="s">
        <v>1226</v>
      </c>
      <c r="B377" t="s">
        <v>1227</v>
      </c>
      <c r="C377" t="s">
        <v>1228</v>
      </c>
      <c r="D377" s="2" t="n">
        <v>281600</v>
      </c>
      <c r="E377" t="str">
        <f aca="1">INDEX('[1]Data Export (2)'!$A:$K,MATCH(A377,'[1]Data Export (2)'!$B:$B,0),11)</f>
        <v>Amortissements du fonds commercial et du droit au bail</v>
      </c>
      <c r="F377" t="s">
        <v>1229</v>
      </c>
    </row>
    <row r="378" spans="1:6">
      <c r="A378" t="s">
        <v>1230</v>
      </c>
      <c r="B378" t="s">
        <v>1231</v>
      </c>
      <c r="C378" t="s">
        <v>1232</v>
      </c>
      <c r="D378" s="2" t="n">
        <v>281700</v>
      </c>
      <c r="E378" t="str">
        <f aca="1">INDEX('[1]Data Export (2)'!$A:$K,MATCH(A378,'[1]Data Export (2)'!$B:$B,0),11)</f>
        <v>Amortissements du fonds commercial et du droit au bail</v>
      </c>
      <c r="F378" t="s">
        <v>1233</v>
      </c>
    </row>
    <row r="379" spans="1:6">
      <c r="A379" t="s">
        <v>1234</v>
      </c>
      <c r="B379" t="s">
        <v>1235</v>
      </c>
      <c r="C379" t="s">
        <v>1236</v>
      </c>
      <c r="D379" s="2" t="n">
        <v>281800</v>
      </c>
      <c r="E379" t="str">
        <f aca="1">INDEX('[1]Data Export (2)'!$A:$K,MATCH(A379,'[1]Data Export (2)'!$B:$B,0),11)</f>
        <v>Amortissements des autres immobilisations incorporelles</v>
      </c>
      <c r="F379" t="s">
        <v>1237</v>
      </c>
    </row>
    <row r="380" spans="1:5">
      <c r="A380" t="s">
        <v>1238</v>
      </c>
      <c r="B380" t="s">
        <v>1239</v>
      </c>
      <c r="C380" t="s">
        <v>1240</v>
      </c>
      <c r="D380" s="2" t="n">
        <v>282000</v>
      </c>
      <c r="E380" t="str">
        <f aca="1">INDEX('[1]Data Export (2)'!$A:$K,MATCH(A380,'[1]Data Export (2)'!$B:$B,0),11)</f>
        <v>Amortissements des terrains</v>
      </c>
    </row>
    <row r="381" spans="1:5">
      <c r="A381" t="s">
        <v>1241</v>
      </c>
      <c r="B381" t="s">
        <v>1242</v>
      </c>
      <c r="C381" t="s">
        <v>1243</v>
      </c>
      <c r="D381" s="2" t="n">
        <v>282400</v>
      </c>
      <c r="E381" t="str">
        <f aca="1">INDEX('[1]Data Export (2)'!$A:$K,MATCH(A381,'[1]Data Export (2)'!$B:$B,0),11)</f>
        <v>Amortissements des terrains</v>
      </c>
    </row>
    <row r="382" spans="1:5">
      <c r="A382" t="s">
        <v>1244</v>
      </c>
      <c r="B382" t="s">
        <v>1245</v>
      </c>
      <c r="C382" t="s">
        <v>1246</v>
      </c>
      <c r="D382" s="2" t="n">
        <v>283000</v>
      </c>
      <c r="E382" t="str">
        <f aca="1">INDEX('[1]Data Export (2)'!$A:$K,MATCH(A382,'[1]Data Export (2)'!$B:$B,0),11)</f>
        <v>Amortissements des bâtiments, installations techniques et agencements</v>
      </c>
    </row>
    <row r="383" spans="1:5">
      <c r="A383" t="s">
        <v>1247</v>
      </c>
      <c r="B383" t="s">
        <v>1248</v>
      </c>
      <c r="C383" t="s">
        <v>1249</v>
      </c>
      <c r="D383" s="2" t="n">
        <v>283100</v>
      </c>
      <c r="E383" t="str">
        <f aca="1">INDEX('[1]Data Export (2)'!$A:$K,MATCH(A383,'[1]Data Export (2)'!$B:$B,0),11)</f>
        <v>Amortissements des bâtiments</v>
      </c>
    </row>
    <row r="384" spans="1:5">
      <c r="A384" t="s">
        <v>1250</v>
      </c>
      <c r="B384" t="s">
        <v>1251</v>
      </c>
      <c r="C384" t="s">
        <v>1252</v>
      </c>
      <c r="D384" s="2" t="n">
        <v>283200</v>
      </c>
      <c r="E384" t="str">
        <f aca="1">INDEX('[1]Data Export (2)'!$A:$K,MATCH(A384,'[1]Data Export (2)'!$B:$B,0),11)</f>
        <v>Amortissements des bâtiments</v>
      </c>
    </row>
    <row r="385" spans="1:5">
      <c r="A385" t="s">
        <v>1253</v>
      </c>
      <c r="B385" t="s">
        <v>1254</v>
      </c>
      <c r="C385" t="s">
        <v>1255</v>
      </c>
      <c r="D385" s="2" t="n">
        <v>283300</v>
      </c>
      <c r="E385" t="str">
        <f aca="1">INDEX('[1]Data Export (2)'!$A:$K,MATCH(A385,'[1]Data Export (2)'!$B:$B,0),11)</f>
        <v>Amortissements des bâtiments</v>
      </c>
    </row>
    <row r="386" spans="1:5">
      <c r="A386" t="s">
        <v>1256</v>
      </c>
      <c r="B386" t="s">
        <v>1257</v>
      </c>
      <c r="C386" t="s">
        <v>1258</v>
      </c>
      <c r="D386" s="2" t="n">
        <v>283400</v>
      </c>
      <c r="E386" t="str">
        <f aca="1">INDEX('[1]Data Export (2)'!$A:$K,MATCH(A386,'[1]Data Export (2)'!$B:$B,0),11)</f>
        <v>Amortissements des aménagements, agencements et installations</v>
      </c>
    </row>
    <row r="387" spans="1:5">
      <c r="A387" t="s">
        <v>1259</v>
      </c>
      <c r="B387" t="s">
        <v>1260</v>
      </c>
      <c r="C387" t="s">
        <v>1261</v>
      </c>
      <c r="D387" s="2" t="n">
        <v>283500</v>
      </c>
      <c r="E387" t="str">
        <f aca="1">INDEX('[1]Data Export (2)'!$A:$K,MATCH(A387,'[1]Data Export (2)'!$B:$B,0),11)</f>
        <v>Amortissements des aménagements, agencements et installations</v>
      </c>
    </row>
    <row r="388" spans="1:5">
      <c r="A388" t="s">
        <v>1262</v>
      </c>
      <c r="B388" t="s">
        <v>1263</v>
      </c>
      <c r="C388" t="s">
        <v>1264</v>
      </c>
      <c r="D388" s="2" t="n">
        <v>283700</v>
      </c>
      <c r="E388" t="str">
        <f aca="1">INDEX('[1]Data Export (2)'!$A:$K,MATCH(A388,'[1]Data Export (2)'!$B:$B,0),11)</f>
        <v>Amortissements des bâtiments</v>
      </c>
    </row>
    <row r="389" spans="1:5">
      <c r="A389" t="s">
        <v>1265</v>
      </c>
      <c r="B389" t="s">
        <v>1266</v>
      </c>
      <c r="C389" t="s">
        <v>1267</v>
      </c>
      <c r="D389" s="2" t="n">
        <v>283800</v>
      </c>
      <c r="E389" t="str">
        <f aca="1">INDEX('[1]Data Export (2)'!$A:$K,MATCH(A389,'[1]Data Export (2)'!$B:$B,0),11)</f>
        <v>Amortissements des aménagements, agencements et installations</v>
      </c>
    </row>
    <row r="390" spans="1:5">
      <c r="A390" t="s">
        <v>1268</v>
      </c>
      <c r="B390" t="s">
        <v>1269</v>
      </c>
      <c r="C390" t="s">
        <v>1270</v>
      </c>
      <c r="D390" s="2" t="n">
        <v>284000</v>
      </c>
      <c r="E390" t="str">
        <f aca="1">INDEX('[1]Data Export (2)'!$A:$K,MATCH(A390,'[1]Data Export (2)'!$B:$B,0),11)</f>
        <v>Amortissements du matériel</v>
      </c>
    </row>
    <row r="391" spans="1:5">
      <c r="A391" t="s">
        <v>1271</v>
      </c>
      <c r="B391" t="s">
        <v>1272</v>
      </c>
      <c r="C391" t="s">
        <v>1273</v>
      </c>
      <c r="D391" s="2" t="n">
        <v>284100</v>
      </c>
      <c r="E391" t="str">
        <f aca="1">INDEX('[1]Data Export (2)'!$A:$K,MATCH(A391,'[1]Data Export (2)'!$B:$B,0),11)</f>
        <v>Amortissements du matériel, mobilier et actifs biologiques</v>
      </c>
    </row>
    <row r="392" spans="1:5">
      <c r="A392" t="s">
        <v>1274</v>
      </c>
      <c r="B392" t="s">
        <v>1275</v>
      </c>
      <c r="C392" t="s">
        <v>1276</v>
      </c>
      <c r="D392" s="2" t="n">
        <v>284200</v>
      </c>
      <c r="E392" t="str">
        <f aca="1">INDEX('[1]Data Export (2)'!$A:$K,MATCH(A392,'[1]Data Export (2)'!$B:$B,0),11)</f>
        <v>Amortissements du matériel, mobilier et actifs biologiques</v>
      </c>
    </row>
    <row r="393" spans="1:5">
      <c r="A393" t="s">
        <v>1277</v>
      </c>
      <c r="B393" t="s">
        <v>1278</v>
      </c>
      <c r="C393" t="s">
        <v>1279</v>
      </c>
      <c r="D393" s="2" t="n">
        <v>284300</v>
      </c>
      <c r="E393" t="str">
        <f aca="1">INDEX('[1]Data Export (2)'!$A:$K,MATCH(A393,'[1]Data Export (2)'!$B:$B,0),11)</f>
        <v>Amortissements du matériel, mobilier et actifs biologiques</v>
      </c>
    </row>
    <row r="394" spans="1:5">
      <c r="A394" t="s">
        <v>1280</v>
      </c>
      <c r="B394" t="s">
        <v>1281</v>
      </c>
      <c r="C394" t="s">
        <v>1282</v>
      </c>
      <c r="D394" s="2" t="n">
        <v>284400</v>
      </c>
      <c r="E394" t="str">
        <f aca="1">INDEX('[1]Data Export (2)'!$A:$K,MATCH(A394,'[1]Data Export (2)'!$B:$B,0),11)</f>
        <v>Amortissements du matériel, mobilier et actifs biologiques</v>
      </c>
    </row>
    <row r="395" spans="1:5">
      <c r="A395" t="s">
        <v>1283</v>
      </c>
      <c r="B395" t="s">
        <v>1284</v>
      </c>
      <c r="C395" t="s">
        <v>1285</v>
      </c>
      <c r="D395" s="2" t="n">
        <v>284500</v>
      </c>
      <c r="E395" t="str">
        <f aca="1">INDEX('[1]Data Export (2)'!$A:$K,MATCH(A395,'[1]Data Export (2)'!$B:$B,0),11)</f>
        <v>Amortissements du matériel de transport</v>
      </c>
    </row>
    <row r="396" spans="1:5">
      <c r="A396" t="s">
        <v>1286</v>
      </c>
      <c r="B396" t="s">
        <v>1287</v>
      </c>
      <c r="C396" t="s">
        <v>1288</v>
      </c>
      <c r="D396" s="2" t="n">
        <v>284600</v>
      </c>
      <c r="E396" t="str">
        <f aca="1">INDEX('[1]Data Export (2)'!$A:$K,MATCH(A396,'[1]Data Export (2)'!$B:$B,0),11)</f>
        <v>Amortissements du matériel, mobilier et actifs biologiques</v>
      </c>
    </row>
    <row r="397" spans="1:5">
      <c r="A397" t="s">
        <v>1289</v>
      </c>
      <c r="B397" t="s">
        <v>1290</v>
      </c>
      <c r="C397" t="s">
        <v>1291</v>
      </c>
      <c r="D397" s="2" t="n">
        <v>284700</v>
      </c>
      <c r="E397" t="str">
        <f aca="1">INDEX('[1]Data Export (2)'!$A:$K,MATCH(A397,'[1]Data Export (2)'!$B:$B,0),11)</f>
        <v>Amortissements du matériel, mobilier et actifs biologiques</v>
      </c>
    </row>
    <row r="398" spans="1:5">
      <c r="A398" t="s">
        <v>1292</v>
      </c>
      <c r="B398" t="s">
        <v>1293</v>
      </c>
      <c r="C398" t="s">
        <v>1294</v>
      </c>
      <c r="D398" s="2" t="n">
        <v>284800</v>
      </c>
      <c r="E398" t="str">
        <f aca="1">INDEX('[1]Data Export (2)'!$A:$K,MATCH(A398,'[1]Data Export (2)'!$B:$B,0),11)</f>
        <v>Amortissements du matériel, mobilier et actifs biologiques</v>
      </c>
    </row>
    <row r="399" spans="1:4">
      <c r="A399" t="s">
        <v>1295</v>
      </c>
      <c r="B399" t="s">
        <v>1296</v>
      </c>
      <c r="C399" t="s">
        <v>1297</v>
      </c>
      <c r="D399" s="2" t="n">
        <v>29</v>
      </c>
    </row>
    <row r="400" spans="1:5">
      <c r="A400" t="s">
        <v>1298</v>
      </c>
      <c r="B400" t="s">
        <v>1299</v>
      </c>
      <c r="C400" t="s">
        <v>1300</v>
      </c>
      <c r="D400" s="2" t="n">
        <v>291000</v>
      </c>
      <c r="E400" t="str">
        <f aca="1">INDEX('[1]Data Export (2)'!$A:$K,MATCH(A400,'[1]Data Export (2)'!$B:$B,0),11)</f>
        <v>Dépréciations des immobilisations incorporelles</v>
      </c>
    </row>
    <row r="401" spans="1:5">
      <c r="A401" t="s">
        <v>1301</v>
      </c>
      <c r="B401" t="s">
        <v>1302</v>
      </c>
      <c r="C401" t="s">
        <v>1303</v>
      </c>
      <c r="D401" s="2" t="n">
        <v>291100</v>
      </c>
      <c r="E401" t="str">
        <f aca="1">INDEX('[1]Data Export (2)'!$A:$K,MATCH(A401,'[1]Data Export (2)'!$B:$B,0),11)</f>
        <v>Dépréciations des frais de développement</v>
      </c>
    </row>
    <row r="402" spans="1:5">
      <c r="A402" t="s">
        <v>1304</v>
      </c>
      <c r="B402" t="s">
        <v>1305</v>
      </c>
      <c r="C402" t="s">
        <v>1306</v>
      </c>
      <c r="D402" s="2" t="n">
        <v>291200</v>
      </c>
      <c r="E402" t="str">
        <f aca="1">INDEX('[1]Data Export (2)'!$A:$K,MATCH(A402,'[1]Data Export (2)'!$B:$B,0),11)</f>
        <v>Dépréciations des brevets, licences, concessions et droits similaires</v>
      </c>
    </row>
    <row r="403" spans="1:5">
      <c r="A403" t="s">
        <v>1307</v>
      </c>
      <c r="B403" t="s">
        <v>1308</v>
      </c>
      <c r="C403" t="s">
        <v>1309</v>
      </c>
      <c r="D403" s="2" t="n">
        <v>291300</v>
      </c>
      <c r="E403" t="str">
        <f aca="1">INDEX('[1]Data Export (2)'!$A:$K,MATCH(A403,'[1]Data Export (2)'!$B:$B,0),11)</f>
        <v>Dépréciations des brevets, licences, concessions et droits similaires</v>
      </c>
    </row>
    <row r="404" spans="1:5">
      <c r="A404" t="s">
        <v>1310</v>
      </c>
      <c r="B404" t="s">
        <v>1311</v>
      </c>
      <c r="C404" t="s">
        <v>1312</v>
      </c>
      <c r="D404" s="2" t="n">
        <v>291400</v>
      </c>
      <c r="E404" t="str">
        <f aca="1">INDEX('[1]Data Export (2)'!$A:$K,MATCH(A404,'[1]Data Export (2)'!$B:$B,0),11)</f>
        <v>Dépréciations des brevets, licences, concessions et droits similaires</v>
      </c>
    </row>
    <row r="405" spans="1:5">
      <c r="A405" t="s">
        <v>1313</v>
      </c>
      <c r="B405" t="s">
        <v>1314</v>
      </c>
      <c r="C405" t="s">
        <v>1315</v>
      </c>
      <c r="D405" s="2" t="n">
        <v>291500</v>
      </c>
      <c r="E405" t="str">
        <f aca="1">INDEX('[1]Data Export (2)'!$A:$K,MATCH(A405,'[1]Data Export (2)'!$B:$B,0),11)</f>
        <v>Dépréciations du fonds commercial et droit de bail</v>
      </c>
    </row>
    <row r="406" spans="1:5">
      <c r="A406" t="s">
        <v>1316</v>
      </c>
      <c r="B406" t="s">
        <v>1317</v>
      </c>
      <c r="C406" t="s">
        <v>1318</v>
      </c>
      <c r="D406" s="2" t="n">
        <v>291600</v>
      </c>
      <c r="E406" t="str">
        <f aca="1">INDEX('[1]Data Export (2)'!$A:$K,MATCH(A406,'[1]Data Export (2)'!$B:$B,0),11)</f>
        <v>Dépréciations du fonds commercial et droit de bail</v>
      </c>
    </row>
    <row r="407" spans="1:5">
      <c r="A407" t="s">
        <v>1319</v>
      </c>
      <c r="B407" t="s">
        <v>1320</v>
      </c>
      <c r="C407" t="s">
        <v>1321</v>
      </c>
      <c r="D407" s="2" t="n">
        <v>291700</v>
      </c>
      <c r="E407" t="str">
        <f aca="1">INDEX('[1]Data Export (2)'!$A:$K,MATCH(A407,'[1]Data Export (2)'!$B:$B,0),11)</f>
        <v>Dépréciations des autres immobilisations incorporelles</v>
      </c>
    </row>
    <row r="408" spans="1:5">
      <c r="A408" t="s">
        <v>1322</v>
      </c>
      <c r="B408" t="s">
        <v>1323</v>
      </c>
      <c r="C408" t="s">
        <v>1324</v>
      </c>
      <c r="D408" s="2" t="n">
        <v>291800</v>
      </c>
      <c r="E408" t="str">
        <f aca="1">INDEX('[1]Data Export (2)'!$A:$K,MATCH(A408,'[1]Data Export (2)'!$B:$B,0),11)</f>
        <v>Dépréciations des autres immobilisations incorporelles</v>
      </c>
    </row>
    <row r="409" spans="1:5">
      <c r="A409" t="s">
        <v>1325</v>
      </c>
      <c r="B409" t="s">
        <v>1326</v>
      </c>
      <c r="C409" t="s">
        <v>1327</v>
      </c>
      <c r="D409" s="2" t="n">
        <v>291900</v>
      </c>
      <c r="E409" t="str">
        <f aca="1">INDEX('[1]Data Export (2)'!$A:$K,MATCH(A409,'[1]Data Export (2)'!$B:$B,0),11)</f>
        <v>Dépréciations des autres immobilisations incorporelles</v>
      </c>
    </row>
    <row r="410" spans="1:5">
      <c r="A410" t="s">
        <v>1328</v>
      </c>
      <c r="B410" t="s">
        <v>1329</v>
      </c>
      <c r="C410" t="s">
        <v>1330</v>
      </c>
      <c r="D410" s="2" t="n">
        <v>292000</v>
      </c>
      <c r="E410" t="str">
        <f aca="1">INDEX('[1]Data Export (2)'!$A:$K,MATCH(A410,'[1]Data Export (2)'!$B:$B,0),11)</f>
        <v>Dépréciations des terrains</v>
      </c>
    </row>
    <row r="411" spans="1:5">
      <c r="A411" t="s">
        <v>1331</v>
      </c>
      <c r="B411" t="s">
        <v>1332</v>
      </c>
      <c r="C411" t="s">
        <v>1333</v>
      </c>
      <c r="D411" s="2" t="n">
        <v>292100</v>
      </c>
      <c r="E411" t="str">
        <f aca="1">INDEX('[1]Data Export (2)'!$A:$K,MATCH(A411,'[1]Data Export (2)'!$B:$B,0),11)</f>
        <v>Dépréciations des terrains</v>
      </c>
    </row>
    <row r="412" spans="1:5">
      <c r="A412" t="s">
        <v>1334</v>
      </c>
      <c r="B412" t="s">
        <v>1335</v>
      </c>
      <c r="C412" t="s">
        <v>1336</v>
      </c>
      <c r="D412" s="2" t="n">
        <v>292200</v>
      </c>
      <c r="E412" t="str">
        <f aca="1">INDEX('[1]Data Export (2)'!$A:$K,MATCH(A412,'[1]Data Export (2)'!$B:$B,0),11)</f>
        <v>Dépréciations des terrains</v>
      </c>
    </row>
    <row r="413" spans="1:5">
      <c r="A413" t="s">
        <v>1337</v>
      </c>
      <c r="B413" t="s">
        <v>1338</v>
      </c>
      <c r="C413" t="s">
        <v>1339</v>
      </c>
      <c r="D413" s="2" t="n">
        <v>292300</v>
      </c>
      <c r="E413" t="str">
        <f aca="1">INDEX('[1]Data Export (2)'!$A:$K,MATCH(A413,'[1]Data Export (2)'!$B:$B,0),11)</f>
        <v>Dépréciations des terrains</v>
      </c>
    </row>
    <row r="414" spans="1:5">
      <c r="A414" t="s">
        <v>1340</v>
      </c>
      <c r="B414" t="s">
        <v>1341</v>
      </c>
      <c r="C414" t="s">
        <v>1342</v>
      </c>
      <c r="D414" s="2" t="n">
        <v>292400</v>
      </c>
      <c r="E414" t="str">
        <f aca="1">INDEX('[1]Data Export (2)'!$A:$K,MATCH(A414,'[1]Data Export (2)'!$B:$B,0),11)</f>
        <v>Dépréciations des terrains</v>
      </c>
    </row>
    <row r="415" spans="1:5">
      <c r="A415" t="s">
        <v>1343</v>
      </c>
      <c r="B415" t="s">
        <v>1344</v>
      </c>
      <c r="C415" t="s">
        <v>1345</v>
      </c>
      <c r="D415" s="2" t="n">
        <v>292500</v>
      </c>
      <c r="E415" t="str">
        <f aca="1">INDEX('[1]Data Export (2)'!$A:$K,MATCH(A415,'[1]Data Export (2)'!$B:$B,0),11)</f>
        <v>Dépréciations des terrains</v>
      </c>
    </row>
    <row r="416" spans="1:5">
      <c r="A416" t="s">
        <v>1346</v>
      </c>
      <c r="B416" t="s">
        <v>1347</v>
      </c>
      <c r="C416" t="s">
        <v>1348</v>
      </c>
      <c r="D416" s="2" t="n">
        <v>292600</v>
      </c>
      <c r="E416" t="str">
        <f aca="1">INDEX('[1]Data Export (2)'!$A:$K,MATCH(A416,'[1]Data Export (2)'!$B:$B,0),11)</f>
        <v>Dépréciations des terrains</v>
      </c>
    </row>
    <row r="417" spans="1:5">
      <c r="A417" t="s">
        <v>1349</v>
      </c>
      <c r="B417" t="s">
        <v>1350</v>
      </c>
      <c r="C417" t="s">
        <v>1351</v>
      </c>
      <c r="D417" s="2" t="n">
        <v>292700</v>
      </c>
      <c r="E417" t="str">
        <f aca="1">INDEX('[1]Data Export (2)'!$A:$K,MATCH(A417,'[1]Data Export (2)'!$B:$B,0),11)</f>
        <v>Dépréciations des terrains</v>
      </c>
    </row>
    <row r="418" spans="1:5">
      <c r="A418" t="s">
        <v>1352</v>
      </c>
      <c r="B418" t="s">
        <v>1353</v>
      </c>
      <c r="C418" t="s">
        <v>1354</v>
      </c>
      <c r="D418" s="2" t="n">
        <v>292800</v>
      </c>
      <c r="E418" t="str">
        <f aca="1">INDEX('[1]Data Export (2)'!$A:$K,MATCH(A418,'[1]Data Export (2)'!$B:$B,0),11)</f>
        <v>Dépréciations des terrains</v>
      </c>
    </row>
    <row r="419" spans="1:5">
      <c r="A419" t="s">
        <v>1355</v>
      </c>
      <c r="B419" t="s">
        <v>1356</v>
      </c>
      <c r="C419" t="s">
        <v>1357</v>
      </c>
      <c r="D419" s="2" t="n">
        <v>292900</v>
      </c>
      <c r="E419" t="str">
        <f aca="1">INDEX('[1]Data Export (2)'!$A:$K,MATCH(A419,'[1]Data Export (2)'!$B:$B,0),11)</f>
        <v>Dépréciations des terrains</v>
      </c>
    </row>
    <row r="420" spans="1:5">
      <c r="A420" t="s">
        <v>1358</v>
      </c>
      <c r="B420" t="s">
        <v>1359</v>
      </c>
      <c r="C420" t="s">
        <v>1360</v>
      </c>
      <c r="D420" s="2" t="n">
        <v>293000</v>
      </c>
      <c r="E420" t="str">
        <f aca="1">INDEX('[1]Data Export (2)'!$A:$K,MATCH(A420,'[1]Data Export (2)'!$B:$B,0),11)</f>
        <v>Dépréciations des bâtiments, installations techniques et agencements</v>
      </c>
    </row>
    <row r="421" spans="1:5">
      <c r="A421" t="s">
        <v>1361</v>
      </c>
      <c r="B421" t="s">
        <v>1362</v>
      </c>
      <c r="C421" t="s">
        <v>1363</v>
      </c>
      <c r="D421" s="2" t="n">
        <v>293100</v>
      </c>
      <c r="E421" t="str">
        <f aca="1">INDEX('[1]Data Export (2)'!$A:$K,MATCH(A421,'[1]Data Export (2)'!$B:$B,0),11)</f>
        <v>Dépréciations des bâtiments, installations techniques et agencements</v>
      </c>
    </row>
    <row r="422" spans="1:5">
      <c r="A422" t="s">
        <v>1364</v>
      </c>
      <c r="B422" t="s">
        <v>1365</v>
      </c>
      <c r="C422" t="s">
        <v>1366</v>
      </c>
      <c r="D422" s="2" t="n">
        <v>293200</v>
      </c>
      <c r="E422" t="str">
        <f aca="1">INDEX('[1]Data Export (2)'!$A:$K,MATCH(A422,'[1]Data Export (2)'!$B:$B,0),11)</f>
        <v>Dépréciations des bâtiments, installations techniques et agencements</v>
      </c>
    </row>
    <row r="423" spans="1:5">
      <c r="A423" t="s">
        <v>1367</v>
      </c>
      <c r="B423" t="s">
        <v>1368</v>
      </c>
      <c r="C423" t="s">
        <v>1369</v>
      </c>
      <c r="D423" s="2" t="n">
        <v>293300</v>
      </c>
      <c r="E423" t="str">
        <f aca="1">INDEX('[1]Data Export (2)'!$A:$K,MATCH(A423,'[1]Data Export (2)'!$B:$B,0),11)</f>
        <v>Dépréciations des bâtiments, installations techniques et agencements</v>
      </c>
    </row>
    <row r="424" spans="1:5">
      <c r="A424" t="s">
        <v>1370</v>
      </c>
      <c r="B424" t="s">
        <v>1371</v>
      </c>
      <c r="C424" t="s">
        <v>1372</v>
      </c>
      <c r="D424" s="2" t="n">
        <v>293400</v>
      </c>
      <c r="E424" t="str">
        <f aca="1">INDEX('[1]Data Export (2)'!$A:$K,MATCH(A424,'[1]Data Export (2)'!$B:$B,0),11)</f>
        <v>Dépréciations des bâtiments, installations techniques et agencements</v>
      </c>
    </row>
    <row r="425" spans="1:5">
      <c r="A425" t="s">
        <v>1373</v>
      </c>
      <c r="B425" t="s">
        <v>1374</v>
      </c>
      <c r="C425" t="s">
        <v>1375</v>
      </c>
      <c r="D425" s="2" t="n">
        <v>293500</v>
      </c>
      <c r="E425" t="str">
        <f aca="1">INDEX('[1]Data Export (2)'!$A:$K,MATCH(A425,'[1]Data Export (2)'!$B:$B,0),11)</f>
        <v>Dépréciations des bâtiments, installations techniques et agencements</v>
      </c>
    </row>
    <row r="426" spans="1:5">
      <c r="A426" t="s">
        <v>1376</v>
      </c>
      <c r="B426" t="s">
        <v>1377</v>
      </c>
      <c r="C426" t="s">
        <v>1378</v>
      </c>
      <c r="D426" s="2" t="n">
        <v>293700</v>
      </c>
      <c r="E426" t="str">
        <f aca="1">INDEX('[1]Data Export (2)'!$A:$K,MATCH(A426,'[1]Data Export (2)'!$B:$B,0),11)</f>
        <v>Dépréciations des bâtiments, installations techniques et agencements</v>
      </c>
    </row>
    <row r="427" spans="1:5">
      <c r="A427" t="s">
        <v>1379</v>
      </c>
      <c r="B427" t="s">
        <v>1380</v>
      </c>
      <c r="C427" t="s">
        <v>1381</v>
      </c>
      <c r="D427" s="2" t="n">
        <v>293800</v>
      </c>
      <c r="E427" t="str">
        <f aca="1">INDEX('[1]Data Export (2)'!$A:$K,MATCH(A427,'[1]Data Export (2)'!$B:$B,0),11)</f>
        <v>Dépréciations des bâtiments, installations techniques et agencements</v>
      </c>
    </row>
    <row r="428" spans="1:5">
      <c r="A428" t="s">
        <v>1382</v>
      </c>
      <c r="B428" t="s">
        <v>1383</v>
      </c>
      <c r="C428" t="s">
        <v>1384</v>
      </c>
      <c r="D428" s="2" t="n">
        <v>293900</v>
      </c>
      <c r="E428" t="str">
        <f aca="1">INDEX('[1]Data Export (2)'!$A:$K,MATCH(A428,'[1]Data Export (2)'!$B:$B,0),11)</f>
        <v>Dépréciations des bâtiments, installations techniques et agencements</v>
      </c>
    </row>
    <row r="429" spans="1:5">
      <c r="A429" t="s">
        <v>1385</v>
      </c>
      <c r="B429" t="s">
        <v>1386</v>
      </c>
      <c r="C429" t="s">
        <v>1387</v>
      </c>
      <c r="D429" s="2" t="n">
        <v>294000</v>
      </c>
      <c r="E429" t="str">
        <f aca="1">INDEX('[1]Data Export (2)'!$A:$K,MATCH(A429,'[1]Data Export (2)'!$B:$B,0),11)</f>
        <v>Dépréciations de matériel, du mobilier et de l’actif biologique</v>
      </c>
    </row>
    <row r="430" spans="1:5">
      <c r="A430" t="s">
        <v>1388</v>
      </c>
      <c r="B430" t="s">
        <v>1389</v>
      </c>
      <c r="C430" t="s">
        <v>1390</v>
      </c>
      <c r="D430" s="2" t="n">
        <v>294100</v>
      </c>
      <c r="E430" t="str">
        <f aca="1">INDEX('[1]Data Export (2)'!$A:$K,MATCH(A430,'[1]Data Export (2)'!$B:$B,0),11)</f>
        <v>Dépréciations de matériel, du mobilier et de l’actif biologique</v>
      </c>
    </row>
    <row r="431" spans="1:5">
      <c r="A431" t="s">
        <v>1391</v>
      </c>
      <c r="B431" t="s">
        <v>1392</v>
      </c>
      <c r="C431" t="s">
        <v>1393</v>
      </c>
      <c r="D431" s="2" t="n">
        <v>294200</v>
      </c>
      <c r="E431" t="str">
        <f aca="1">INDEX('[1]Data Export (2)'!$A:$K,MATCH(A431,'[1]Data Export (2)'!$B:$B,0),11)</f>
        <v>Dépréciations de matériel, du mobilier et de l’actif biologique</v>
      </c>
    </row>
    <row r="432" spans="1:5">
      <c r="A432" t="s">
        <v>1394</v>
      </c>
      <c r="B432" t="s">
        <v>1395</v>
      </c>
      <c r="C432" t="s">
        <v>1396</v>
      </c>
      <c r="D432" s="2" t="n">
        <v>294300</v>
      </c>
      <c r="E432" t="str">
        <f aca="1">INDEX('[1]Data Export (2)'!$A:$K,MATCH(A432,'[1]Data Export (2)'!$B:$B,0),11)</f>
        <v>Dépréciations de matériel, du mobilier et de l’actif biologique</v>
      </c>
    </row>
    <row r="433" spans="1:5">
      <c r="A433" t="s">
        <v>1397</v>
      </c>
      <c r="B433" t="s">
        <v>1398</v>
      </c>
      <c r="C433" t="s">
        <v>1399</v>
      </c>
      <c r="D433" s="2" t="n">
        <v>294400</v>
      </c>
      <c r="E433" t="str">
        <f aca="1">INDEX('[1]Data Export (2)'!$A:$K,MATCH(A433,'[1]Data Export (2)'!$B:$B,0),11)</f>
        <v>Dépréciations de matériel, du mobilier et de l’actif biologique</v>
      </c>
    </row>
    <row r="434" spans="1:5">
      <c r="A434" t="s">
        <v>1400</v>
      </c>
      <c r="B434" t="s">
        <v>1401</v>
      </c>
      <c r="C434" t="s">
        <v>1402</v>
      </c>
      <c r="D434" s="2" t="n">
        <v>294500</v>
      </c>
      <c r="E434" t="str">
        <f aca="1">INDEX('[1]Data Export (2)'!$A:$K,MATCH(A434,'[1]Data Export (2)'!$B:$B,0),11)</f>
        <v>Dépréciations du matériel de transport</v>
      </c>
    </row>
    <row r="435" spans="1:5">
      <c r="A435" t="s">
        <v>1403</v>
      </c>
      <c r="B435" t="s">
        <v>1404</v>
      </c>
      <c r="C435" t="s">
        <v>1405</v>
      </c>
      <c r="D435" s="2" t="n">
        <v>294600</v>
      </c>
      <c r="E435" t="str">
        <f aca="1">INDEX('[1]Data Export (2)'!$A:$K,MATCH(A435,'[1]Data Export (2)'!$B:$B,0),11)</f>
        <v>Dépréciations de matériel, du mobilier et de l’actif biologique</v>
      </c>
    </row>
    <row r="436" spans="1:5">
      <c r="A436" t="s">
        <v>1406</v>
      </c>
      <c r="B436" t="s">
        <v>1407</v>
      </c>
      <c r="C436" t="s">
        <v>1408</v>
      </c>
      <c r="D436" s="2" t="n">
        <v>294700</v>
      </c>
      <c r="E436" t="str">
        <f aca="1">INDEX('[1]Data Export (2)'!$A:$K,MATCH(A436,'[1]Data Export (2)'!$B:$B,0),11)</f>
        <v>Dépréciations de matériel, du mobilier et de l’actif biologique</v>
      </c>
    </row>
    <row r="437" spans="1:5">
      <c r="A437" t="s">
        <v>1409</v>
      </c>
      <c r="B437" t="s">
        <v>1410</v>
      </c>
      <c r="C437" t="s">
        <v>1411</v>
      </c>
      <c r="D437" s="2" t="n">
        <v>294800</v>
      </c>
      <c r="E437" t="str">
        <f aca="1">INDEX('[1]Data Export (2)'!$A:$K,MATCH(A437,'[1]Data Export (2)'!$B:$B,0),11)</f>
        <v>Dépréciations de matériel, du mobilier et de l’actif biologique</v>
      </c>
    </row>
    <row r="438" spans="1:5">
      <c r="A438" t="s">
        <v>1412</v>
      </c>
      <c r="B438" t="s">
        <v>1413</v>
      </c>
      <c r="C438" t="s">
        <v>1414</v>
      </c>
      <c r="D438" s="2" t="n">
        <v>294900</v>
      </c>
      <c r="E438" t="str">
        <f aca="1">INDEX('[1]Data Export (2)'!$A:$K,MATCH(A438,'[1]Data Export (2)'!$B:$B,0),11)</f>
        <v>Dépréciations de matériel, du mobilier et de l’actif biologique</v>
      </c>
    </row>
    <row r="439" spans="1:5">
      <c r="A439" t="s">
        <v>1415</v>
      </c>
      <c r="B439" t="s">
        <v>1416</v>
      </c>
      <c r="C439" t="s">
        <v>1417</v>
      </c>
      <c r="D439" s="2" t="n">
        <v>295000</v>
      </c>
      <c r="E439" t="str">
        <f aca="1">INDEX('[1]Data Export (2)'!$A:$K,MATCH(A439,'[1]Data Export (2)'!$B:$B,0),11)</f>
        <v>Dépréciations des avances et acomptes versés sur immobilisations</v>
      </c>
    </row>
    <row r="440" spans="1:5">
      <c r="A440" t="s">
        <v>1418</v>
      </c>
      <c r="B440" t="s">
        <v>1419</v>
      </c>
      <c r="C440" t="s">
        <v>1420</v>
      </c>
      <c r="D440" s="2" t="n">
        <v>295100</v>
      </c>
      <c r="E440" t="str">
        <f aca="1">INDEX('[1]Data Export (2)'!$A:$K,MATCH(A440,'[1]Data Export (2)'!$B:$B,0),11)</f>
        <v>Dépréciations des avances et acomptes versés sur immobilisations</v>
      </c>
    </row>
    <row r="441" spans="1:5">
      <c r="A441" t="s">
        <v>1421</v>
      </c>
      <c r="B441" t="s">
        <v>1422</v>
      </c>
      <c r="C441" t="s">
        <v>1423</v>
      </c>
      <c r="D441" s="2" t="n">
        <v>295200</v>
      </c>
      <c r="E441" t="str">
        <f aca="1">INDEX('[1]Data Export (2)'!$A:$K,MATCH(A441,'[1]Data Export (2)'!$B:$B,0),11)</f>
        <v>Dépréciations des avances et acomptes versés sur immobilisations</v>
      </c>
    </row>
    <row r="442" spans="1:5">
      <c r="A442" t="s">
        <v>1424</v>
      </c>
      <c r="B442" t="s">
        <v>1425</v>
      </c>
      <c r="C442" t="s">
        <v>1426</v>
      </c>
      <c r="D442" s="2" t="n">
        <v>296000</v>
      </c>
      <c r="E442" t="str">
        <f aca="1">INDEX('[1]Data Export (2)'!$A:$K,MATCH(A442,'[1]Data Export (2)'!$B:$B,0),11)</f>
        <v>Dépréciations des titres de participation</v>
      </c>
    </row>
    <row r="443" spans="1:5">
      <c r="A443" t="s">
        <v>1427</v>
      </c>
      <c r="B443" t="s">
        <v>1428</v>
      </c>
      <c r="C443" t="s">
        <v>1429</v>
      </c>
      <c r="D443" s="2" t="n">
        <v>296100</v>
      </c>
      <c r="E443" t="str">
        <f aca="1">INDEX('[1]Data Export (2)'!$A:$K,MATCH(A443,'[1]Data Export (2)'!$B:$B,0),11)</f>
        <v>Dépréciations des titres de participation</v>
      </c>
    </row>
    <row r="444" spans="1:5">
      <c r="A444" t="s">
        <v>1430</v>
      </c>
      <c r="B444" t="s">
        <v>1431</v>
      </c>
      <c r="C444" t="s">
        <v>1432</v>
      </c>
      <c r="D444" s="2" t="n">
        <v>296200</v>
      </c>
      <c r="E444" t="str">
        <f aca="1">INDEX('[1]Data Export (2)'!$A:$K,MATCH(A444,'[1]Data Export (2)'!$B:$B,0),11)</f>
        <v>Dépréciations des titres de participation</v>
      </c>
    </row>
    <row r="445" spans="1:5">
      <c r="A445" t="s">
        <v>1433</v>
      </c>
      <c r="B445" t="s">
        <v>1434</v>
      </c>
      <c r="C445" t="s">
        <v>1435</v>
      </c>
      <c r="D445" s="2" t="n">
        <v>296300</v>
      </c>
      <c r="E445" t="str">
        <f aca="1">INDEX('[1]Data Export (2)'!$A:$K,MATCH(A445,'[1]Data Export (2)'!$B:$B,0),11)</f>
        <v>Dépréciations des titres de participation</v>
      </c>
    </row>
    <row r="446" spans="1:5">
      <c r="A446" t="s">
        <v>1436</v>
      </c>
      <c r="B446" t="s">
        <v>1437</v>
      </c>
      <c r="C446" t="s">
        <v>1438</v>
      </c>
      <c r="D446" s="2" t="n">
        <v>296500</v>
      </c>
      <c r="E446" t="str">
        <f aca="1">INDEX('[1]Data Export (2)'!$A:$K,MATCH(A446,'[1]Data Export (2)'!$B:$B,0),11)</f>
        <v>Dépréciations des titres de participation</v>
      </c>
    </row>
    <row r="447" spans="1:5">
      <c r="A447" t="s">
        <v>1439</v>
      </c>
      <c r="B447" t="s">
        <v>1440</v>
      </c>
      <c r="C447" t="s">
        <v>1441</v>
      </c>
      <c r="D447" s="2" t="n">
        <v>296600</v>
      </c>
      <c r="E447" t="str">
        <f aca="1">INDEX('[1]Data Export (2)'!$A:$K,MATCH(A447,'[1]Data Export (2)'!$B:$B,0),11)</f>
        <v>Dépréciations des titres de participation</v>
      </c>
    </row>
    <row r="448" spans="1:5">
      <c r="A448" t="s">
        <v>1442</v>
      </c>
      <c r="B448" t="s">
        <v>1443</v>
      </c>
      <c r="C448" t="s">
        <v>1444</v>
      </c>
      <c r="D448" s="2" t="n">
        <v>296800</v>
      </c>
      <c r="E448" t="str">
        <f aca="1">INDEX('[1]Data Export (2)'!$A:$K,MATCH(A448,'[1]Data Export (2)'!$B:$B,0),11)</f>
        <v>Dépréciations des titres de participation</v>
      </c>
    </row>
    <row r="449" spans="1:5">
      <c r="A449" t="s">
        <v>1445</v>
      </c>
      <c r="B449" t="s">
        <v>1446</v>
      </c>
      <c r="C449" t="s">
        <v>1447</v>
      </c>
      <c r="D449" s="2" t="n">
        <v>297000</v>
      </c>
      <c r="E449" t="str">
        <f aca="1">INDEX('[1]Data Export (2)'!$A:$K,MATCH(A449,'[1]Data Export (2)'!$B:$B,0),11)</f>
        <v>Dépréciations des autres immobilisations financières</v>
      </c>
    </row>
    <row r="450" spans="1:5">
      <c r="A450" t="s">
        <v>1448</v>
      </c>
      <c r="B450" t="s">
        <v>1449</v>
      </c>
      <c r="C450" t="s">
        <v>1450</v>
      </c>
      <c r="D450" s="2" t="n">
        <v>297100</v>
      </c>
      <c r="E450" t="str">
        <f aca="1">INDEX('[1]Data Export (2)'!$A:$K,MATCH(A450,'[1]Data Export (2)'!$B:$B,0),11)</f>
        <v>Dépréciations des autres immobilisations financières</v>
      </c>
    </row>
    <row r="451" spans="1:5">
      <c r="A451" t="s">
        <v>1451</v>
      </c>
      <c r="B451" t="s">
        <v>1452</v>
      </c>
      <c r="C451" t="s">
        <v>1453</v>
      </c>
      <c r="D451" s="2" t="n">
        <v>297200</v>
      </c>
      <c r="E451" t="str">
        <f aca="1">INDEX('[1]Data Export (2)'!$A:$K,MATCH(A451,'[1]Data Export (2)'!$B:$B,0),11)</f>
        <v>Dépréciations des autres immobilisations financières</v>
      </c>
    </row>
    <row r="452" spans="1:5">
      <c r="A452" t="s">
        <v>1454</v>
      </c>
      <c r="B452" t="s">
        <v>1455</v>
      </c>
      <c r="C452" t="s">
        <v>1456</v>
      </c>
      <c r="D452" s="2" t="n">
        <v>297300</v>
      </c>
      <c r="E452" t="str">
        <f aca="1">INDEX('[1]Data Export (2)'!$A:$K,MATCH(A452,'[1]Data Export (2)'!$B:$B,0),11)</f>
        <v>Dépréciations des autres immobilisations financières</v>
      </c>
    </row>
    <row r="453" spans="1:5">
      <c r="A453" t="s">
        <v>1457</v>
      </c>
      <c r="B453" t="s">
        <v>1458</v>
      </c>
      <c r="C453" t="s">
        <v>1459</v>
      </c>
      <c r="D453" s="2" t="n">
        <v>297400</v>
      </c>
      <c r="E453" t="str">
        <f aca="1">INDEX('[1]Data Export (2)'!$A:$K,MATCH(A453,'[1]Data Export (2)'!$B:$B,0),11)</f>
        <v>Dépréciations des autres immobilisations financières</v>
      </c>
    </row>
    <row r="454" spans="1:5">
      <c r="A454" t="s">
        <v>1460</v>
      </c>
      <c r="B454" t="s">
        <v>1461</v>
      </c>
      <c r="C454" t="s">
        <v>1462</v>
      </c>
      <c r="D454" s="2" t="n">
        <v>297500</v>
      </c>
      <c r="E454" t="str">
        <f aca="1">INDEX('[1]Data Export (2)'!$A:$K,MATCH(A454,'[1]Data Export (2)'!$B:$B,0),11)</f>
        <v>Dépréciations des autres immobilisations financières</v>
      </c>
    </row>
    <row r="455" spans="1:5">
      <c r="A455" t="s">
        <v>1463</v>
      </c>
      <c r="B455" t="s">
        <v>1464</v>
      </c>
      <c r="C455" t="s">
        <v>1465</v>
      </c>
      <c r="D455" s="2" t="n">
        <v>297700</v>
      </c>
      <c r="E455" t="str">
        <f aca="1">INDEX('[1]Data Export (2)'!$A:$K,MATCH(A455,'[1]Data Export (2)'!$B:$B,0),11)</f>
        <v>Dépréciations des autres immobilisations financières</v>
      </c>
    </row>
    <row r="456" spans="1:5">
      <c r="A456" t="s">
        <v>1466</v>
      </c>
      <c r="B456" t="s">
        <v>1467</v>
      </c>
      <c r="C456" t="s">
        <v>1468</v>
      </c>
      <c r="D456" s="2" t="n">
        <v>297800</v>
      </c>
      <c r="E456" t="str">
        <f aca="1">INDEX('[1]Data Export (2)'!$A:$K,MATCH(A456,'[1]Data Export (2)'!$B:$B,0),11)</f>
        <v>Dépréciations des autres immobilisations financières</v>
      </c>
    </row>
    <row r="457" spans="1:4">
      <c r="A457" t="s">
        <v>1469</v>
      </c>
      <c r="B457" t="s">
        <v>1470</v>
      </c>
      <c r="D457" s="2" t="n">
        <v>3</v>
      </c>
    </row>
    <row r="458" spans="1:4">
      <c r="A458" t="s">
        <v>1471</v>
      </c>
      <c r="B458" t="s">
        <v>1472</v>
      </c>
      <c r="C458" t="s">
        <v>1473</v>
      </c>
      <c r="D458" s="2" t="n">
        <v>31</v>
      </c>
    </row>
    <row r="459" spans="1:5">
      <c r="A459" t="s">
        <v>1474</v>
      </c>
      <c r="B459" t="s">
        <v>1475</v>
      </c>
      <c r="C459" t="s">
        <v>1476</v>
      </c>
      <c r="D459" s="2" t="n">
        <v>311000</v>
      </c>
      <c r="E459" t="str">
        <f aca="1">INDEX('[1]Data Export (2)'!$A:$K,MATCH(A459,'[1]Data Export (2)'!$B:$B,0),11)</f>
        <v>Stocks et encours</v>
      </c>
    </row>
    <row r="460" spans="1:5">
      <c r="A460" t="s">
        <v>1477</v>
      </c>
      <c r="B460" t="s">
        <v>1478</v>
      </c>
      <c r="C460" t="s">
        <v>1479</v>
      </c>
      <c r="D460" s="2" t="n">
        <v>311100</v>
      </c>
      <c r="E460" t="str">
        <f aca="1">INDEX('[1]Data Export (2)'!$A:$K,MATCH(A460,'[1]Data Export (2)'!$B:$B,0),11)</f>
        <v>Stocks et encours</v>
      </c>
    </row>
    <row r="461" spans="1:5">
      <c r="A461" t="s">
        <v>1480</v>
      </c>
      <c r="B461" t="s">
        <v>1481</v>
      </c>
      <c r="C461" t="s">
        <v>1482</v>
      </c>
      <c r="D461" s="2" t="n">
        <v>311200</v>
      </c>
      <c r="E461" t="str">
        <f aca="1">INDEX('[1]Data Export (2)'!$A:$K,MATCH(A461,'[1]Data Export (2)'!$B:$B,0),11)</f>
        <v>Stocks et encours</v>
      </c>
    </row>
    <row r="462" spans="1:5">
      <c r="A462" t="s">
        <v>1483</v>
      </c>
      <c r="B462" t="s">
        <v>1484</v>
      </c>
      <c r="C462" t="s">
        <v>1485</v>
      </c>
      <c r="D462" s="2" t="n">
        <v>312000</v>
      </c>
      <c r="E462" t="str">
        <f aca="1">INDEX('[1]Data Export (2)'!$A:$K,MATCH(A462,'[1]Data Export (2)'!$B:$B,0),11)</f>
        <v>Stocks et encours</v>
      </c>
    </row>
    <row r="463" spans="1:5">
      <c r="A463" t="s">
        <v>1486</v>
      </c>
      <c r="B463" t="s">
        <v>1487</v>
      </c>
      <c r="C463" t="s">
        <v>1488</v>
      </c>
      <c r="D463" s="2" t="n">
        <v>312100</v>
      </c>
      <c r="E463" t="str">
        <f aca="1">INDEX('[1]Data Export (2)'!$A:$K,MATCH(A463,'[1]Data Export (2)'!$B:$B,0),11)</f>
        <v>Stocks et encours</v>
      </c>
    </row>
    <row r="464" spans="1:5">
      <c r="A464" t="s">
        <v>1489</v>
      </c>
      <c r="B464" t="s">
        <v>1490</v>
      </c>
      <c r="C464" t="s">
        <v>1491</v>
      </c>
      <c r="D464" s="2" t="n">
        <v>312200</v>
      </c>
      <c r="E464" t="str">
        <f aca="1">INDEX('[1]Data Export (2)'!$A:$K,MATCH(A464,'[1]Data Export (2)'!$B:$B,0),11)</f>
        <v>Stocks et encours</v>
      </c>
    </row>
    <row r="465" spans="1:5">
      <c r="A465" t="s">
        <v>1492</v>
      </c>
      <c r="B465" t="s">
        <v>1493</v>
      </c>
      <c r="C465" t="s">
        <v>1494</v>
      </c>
      <c r="D465" s="2" t="n">
        <v>313000</v>
      </c>
      <c r="E465" t="str">
        <f aca="1">INDEX('[1]Data Export (2)'!$A:$K,MATCH(A465,'[1]Data Export (2)'!$B:$B,0),11)</f>
        <v>Stocks et encours</v>
      </c>
    </row>
    <row r="466" spans="1:5">
      <c r="A466" t="s">
        <v>1495</v>
      </c>
      <c r="B466" t="s">
        <v>1496</v>
      </c>
      <c r="C466" t="s">
        <v>1497</v>
      </c>
      <c r="D466" s="2" t="n">
        <v>313100</v>
      </c>
      <c r="E466" t="str">
        <f aca="1">INDEX('[1]Data Export (2)'!$A:$K,MATCH(A466,'[1]Data Export (2)'!$B:$B,0),11)</f>
        <v>Stocks et encours</v>
      </c>
    </row>
    <row r="467" spans="1:5">
      <c r="A467" t="s">
        <v>1498</v>
      </c>
      <c r="B467" t="s">
        <v>1499</v>
      </c>
      <c r="C467" t="s">
        <v>1500</v>
      </c>
      <c r="D467" s="2" t="n">
        <v>313200</v>
      </c>
      <c r="E467" t="str">
        <f aca="1">INDEX('[1]Data Export (2)'!$A:$K,MATCH(A467,'[1]Data Export (2)'!$B:$B,0),11)</f>
        <v>Stocks et encours</v>
      </c>
    </row>
    <row r="468" spans="1:5">
      <c r="A468" t="s">
        <v>1501</v>
      </c>
      <c r="B468" t="s">
        <v>1502</v>
      </c>
      <c r="C468" t="s">
        <v>1503</v>
      </c>
      <c r="D468" s="2" t="n">
        <v>318000</v>
      </c>
      <c r="E468" t="str">
        <f aca="1">INDEX('[1]Data Export (2)'!$A:$K,MATCH(A468,'[1]Data Export (2)'!$B:$B,0),11)</f>
        <v>Stocks et encours</v>
      </c>
    </row>
    <row r="469" spans="1:4">
      <c r="A469" t="s">
        <v>1504</v>
      </c>
      <c r="B469" t="s">
        <v>1505</v>
      </c>
      <c r="C469" t="s">
        <v>1506</v>
      </c>
      <c r="D469" s="2" t="n">
        <v>32</v>
      </c>
    </row>
    <row r="470" spans="1:5">
      <c r="A470" t="s">
        <v>1507</v>
      </c>
      <c r="B470" t="s">
        <v>1508</v>
      </c>
      <c r="C470" t="s">
        <v>1509</v>
      </c>
      <c r="D470" s="2" t="n">
        <v>321000</v>
      </c>
      <c r="E470" t="str">
        <f aca="1">INDEX('[1]Data Export (2)'!$A:$K,MATCH(A470,'[1]Data Export (2)'!$B:$B,0),11)</f>
        <v>Stocks et encours</v>
      </c>
    </row>
    <row r="471" spans="1:5">
      <c r="A471" t="s">
        <v>1510</v>
      </c>
      <c r="B471" t="s">
        <v>1511</v>
      </c>
      <c r="C471" t="s">
        <v>1512</v>
      </c>
      <c r="D471" s="2" t="n">
        <v>322000</v>
      </c>
      <c r="E471" t="str">
        <f aca="1">INDEX('[1]Data Export (2)'!$A:$K,MATCH(A471,'[1]Data Export (2)'!$B:$B,0),11)</f>
        <v>Stocks et encours</v>
      </c>
    </row>
    <row r="472" spans="1:5">
      <c r="A472" t="s">
        <v>1513</v>
      </c>
      <c r="B472" t="s">
        <v>1514</v>
      </c>
      <c r="C472" t="s">
        <v>1515</v>
      </c>
      <c r="D472" s="2" t="n">
        <v>323000</v>
      </c>
      <c r="E472" t="str">
        <f aca="1">INDEX('[1]Data Export (2)'!$A:$K,MATCH(A472,'[1]Data Export (2)'!$B:$B,0),11)</f>
        <v>Stocks et encours</v>
      </c>
    </row>
    <row r="473" spans="1:4">
      <c r="A473" t="s">
        <v>1516</v>
      </c>
      <c r="B473" t="s">
        <v>1517</v>
      </c>
      <c r="C473" t="s">
        <v>1518</v>
      </c>
      <c r="D473" s="2" t="n">
        <v>33</v>
      </c>
    </row>
    <row r="474" spans="1:5">
      <c r="A474" t="s">
        <v>1519</v>
      </c>
      <c r="B474" t="s">
        <v>1520</v>
      </c>
      <c r="C474" t="s">
        <v>1521</v>
      </c>
      <c r="D474" s="2" t="n">
        <v>331000</v>
      </c>
      <c r="E474" t="str">
        <f aca="1">INDEX('[1]Data Export (2)'!$A:$K,MATCH(A474,'[1]Data Export (2)'!$B:$B,0),11)</f>
        <v>Stocks et encours</v>
      </c>
    </row>
    <row r="475" spans="1:5">
      <c r="A475" t="s">
        <v>1522</v>
      </c>
      <c r="B475" t="s">
        <v>1523</v>
      </c>
      <c r="C475" t="s">
        <v>1524</v>
      </c>
      <c r="D475" s="2" t="n">
        <v>332000</v>
      </c>
      <c r="E475" t="str">
        <f aca="1">INDEX('[1]Data Export (2)'!$A:$K,MATCH(A475,'[1]Data Export (2)'!$B:$B,0),11)</f>
        <v>Stocks et encours</v>
      </c>
    </row>
    <row r="476" spans="1:5">
      <c r="A476" t="s">
        <v>1525</v>
      </c>
      <c r="B476" t="s">
        <v>1526</v>
      </c>
      <c r="C476" t="s">
        <v>1527</v>
      </c>
      <c r="D476" s="2" t="n">
        <v>333000</v>
      </c>
      <c r="E476" t="str">
        <f aca="1">INDEX('[1]Data Export (2)'!$A:$K,MATCH(A476,'[1]Data Export (2)'!$B:$B,0),11)</f>
        <v>Stocks et encours</v>
      </c>
    </row>
    <row r="477" spans="1:5">
      <c r="A477" t="s">
        <v>1528</v>
      </c>
      <c r="B477" t="s">
        <v>1529</v>
      </c>
      <c r="C477" t="s">
        <v>1530</v>
      </c>
      <c r="D477" s="2" t="n">
        <v>334000</v>
      </c>
      <c r="E477" t="str">
        <f aca="1">INDEX('[1]Data Export (2)'!$A:$K,MATCH(A477,'[1]Data Export (2)'!$B:$B,0),11)</f>
        <v>Stocks et encours</v>
      </c>
    </row>
    <row r="478" spans="1:5">
      <c r="A478" t="s">
        <v>1531</v>
      </c>
      <c r="B478" t="s">
        <v>1532</v>
      </c>
      <c r="C478" t="s">
        <v>1533</v>
      </c>
      <c r="D478" s="2" t="n">
        <v>335000</v>
      </c>
      <c r="E478" t="str">
        <f aca="1">INDEX('[1]Data Export (2)'!$A:$K,MATCH(A478,'[1]Data Export (2)'!$B:$B,0),11)</f>
        <v>Stocks et encours</v>
      </c>
    </row>
    <row r="479" spans="1:5">
      <c r="A479" t="s">
        <v>1534</v>
      </c>
      <c r="B479" t="s">
        <v>1535</v>
      </c>
      <c r="C479" t="s">
        <v>1536</v>
      </c>
      <c r="D479" s="2" t="n">
        <v>335100</v>
      </c>
      <c r="E479" t="str">
        <f aca="1">INDEX('[1]Data Export (2)'!$A:$K,MATCH(A479,'[1]Data Export (2)'!$B:$B,0),11)</f>
        <v>Stocks et encours</v>
      </c>
    </row>
    <row r="480" spans="1:5">
      <c r="A480" t="s">
        <v>1537</v>
      </c>
      <c r="B480" t="s">
        <v>1538</v>
      </c>
      <c r="C480" t="s">
        <v>1539</v>
      </c>
      <c r="D480" s="2" t="n">
        <v>335200</v>
      </c>
      <c r="E480" t="str">
        <f aca="1">INDEX('[1]Data Export (2)'!$A:$K,MATCH(A480,'[1]Data Export (2)'!$B:$B,0),11)</f>
        <v>Stocks et encours</v>
      </c>
    </row>
    <row r="481" spans="1:5">
      <c r="A481" t="s">
        <v>1540</v>
      </c>
      <c r="B481" t="s">
        <v>1541</v>
      </c>
      <c r="C481" t="s">
        <v>1542</v>
      </c>
      <c r="D481" s="2" t="n">
        <v>335300</v>
      </c>
      <c r="E481" t="str">
        <f aca="1">INDEX('[1]Data Export (2)'!$A:$K,MATCH(A481,'[1]Data Export (2)'!$B:$B,0),11)</f>
        <v>Stocks et encours</v>
      </c>
    </row>
    <row r="482" spans="1:5">
      <c r="A482" t="s">
        <v>1543</v>
      </c>
      <c r="B482" t="s">
        <v>1544</v>
      </c>
      <c r="C482" t="s">
        <v>1545</v>
      </c>
      <c r="D482" s="2" t="n">
        <v>335800</v>
      </c>
      <c r="E482" t="str">
        <f aca="1">INDEX('[1]Data Export (2)'!$A:$K,MATCH(A482,'[1]Data Export (2)'!$B:$B,0),11)</f>
        <v>Stocks et encours</v>
      </c>
    </row>
    <row r="483" spans="1:5">
      <c r="A483" t="s">
        <v>1546</v>
      </c>
      <c r="B483" t="s">
        <v>1547</v>
      </c>
      <c r="C483" t="s">
        <v>1548</v>
      </c>
      <c r="D483" s="2" t="n">
        <v>338000</v>
      </c>
      <c r="E483" t="str">
        <f aca="1">INDEX('[1]Data Export (2)'!$A:$K,MATCH(A483,'[1]Data Export (2)'!$B:$B,0),11)</f>
        <v>Stocks et encours</v>
      </c>
    </row>
    <row r="484" spans="1:4">
      <c r="A484" t="s">
        <v>1549</v>
      </c>
      <c r="B484" t="s">
        <v>1550</v>
      </c>
      <c r="C484" t="s">
        <v>1551</v>
      </c>
      <c r="D484" s="2" t="n">
        <v>34</v>
      </c>
    </row>
    <row r="485" spans="1:5">
      <c r="A485" t="s">
        <v>1552</v>
      </c>
      <c r="B485" t="s">
        <v>1553</v>
      </c>
      <c r="C485" t="s">
        <v>1554</v>
      </c>
      <c r="D485" s="2" t="n">
        <v>341000</v>
      </c>
      <c r="E485" t="str">
        <f aca="1">INDEX('[1]Data Export (2)'!$A:$K,MATCH(A485,'[1]Data Export (2)'!$B:$B,0),11)</f>
        <v>Stocks et encours</v>
      </c>
    </row>
    <row r="486" spans="1:5">
      <c r="A486" t="s">
        <v>1555</v>
      </c>
      <c r="B486" t="s">
        <v>1556</v>
      </c>
      <c r="C486" t="s">
        <v>1557</v>
      </c>
      <c r="D486" s="2" t="n">
        <v>341100</v>
      </c>
      <c r="E486" t="str">
        <f aca="1">INDEX('[1]Data Export (2)'!$A:$K,MATCH(A486,'[1]Data Export (2)'!$B:$B,0),11)</f>
        <v>Stocks et encours</v>
      </c>
    </row>
    <row r="487" spans="1:5">
      <c r="A487" t="s">
        <v>1558</v>
      </c>
      <c r="B487" t="s">
        <v>1559</v>
      </c>
      <c r="C487" t="s">
        <v>1560</v>
      </c>
      <c r="D487" s="2" t="n">
        <v>341200</v>
      </c>
      <c r="E487" t="str">
        <f aca="1">INDEX('[1]Data Export (2)'!$A:$K,MATCH(A487,'[1]Data Export (2)'!$B:$B,0),11)</f>
        <v>Stocks et encours</v>
      </c>
    </row>
    <row r="488" spans="1:5">
      <c r="A488" t="s">
        <v>1561</v>
      </c>
      <c r="B488" t="s">
        <v>1562</v>
      </c>
      <c r="C488" t="s">
        <v>1563</v>
      </c>
      <c r="D488" s="2" t="n">
        <v>342000</v>
      </c>
      <c r="E488" t="str">
        <f aca="1">INDEX('[1]Data Export (2)'!$A:$K,MATCH(A488,'[1]Data Export (2)'!$B:$B,0),11)</f>
        <v>Stocks et encours</v>
      </c>
    </row>
    <row r="489" spans="1:5">
      <c r="A489" t="s">
        <v>1564</v>
      </c>
      <c r="B489" t="s">
        <v>1565</v>
      </c>
      <c r="C489" t="s">
        <v>1566</v>
      </c>
      <c r="D489" s="2" t="n">
        <v>342100</v>
      </c>
      <c r="E489" t="str">
        <f aca="1">INDEX('[1]Data Export (2)'!$A:$K,MATCH(A489,'[1]Data Export (2)'!$B:$B,0),11)</f>
        <v>Stocks et encours</v>
      </c>
    </row>
    <row r="490" spans="1:5">
      <c r="A490" t="s">
        <v>1567</v>
      </c>
      <c r="B490" t="s">
        <v>1568</v>
      </c>
      <c r="C490" t="s">
        <v>1569</v>
      </c>
      <c r="D490" s="2" t="n">
        <v>342200</v>
      </c>
      <c r="E490" t="str">
        <f aca="1">INDEX('[1]Data Export (2)'!$A:$K,MATCH(A490,'[1]Data Export (2)'!$B:$B,0),11)</f>
        <v>Stocks et encours</v>
      </c>
    </row>
    <row r="491" spans="1:5">
      <c r="A491" t="s">
        <v>1570</v>
      </c>
      <c r="B491" t="s">
        <v>1571</v>
      </c>
      <c r="C491" t="s">
        <v>1572</v>
      </c>
      <c r="D491" s="2" t="n">
        <v>343000</v>
      </c>
      <c r="E491" t="str">
        <f aca="1">INDEX('[1]Data Export (2)'!$A:$K,MATCH(A491,'[1]Data Export (2)'!$B:$B,0),11)</f>
        <v>Stocks et encours</v>
      </c>
    </row>
    <row r="492" spans="1:5">
      <c r="A492" t="s">
        <v>1573</v>
      </c>
      <c r="B492" t="s">
        <v>1574</v>
      </c>
      <c r="C492" t="s">
        <v>1575</v>
      </c>
      <c r="D492" s="2" t="n">
        <v>343100</v>
      </c>
      <c r="E492" t="str">
        <f aca="1">INDEX('[1]Data Export (2)'!$A:$K,MATCH(A492,'[1]Data Export (2)'!$B:$B,0),11)</f>
        <v>Stocks et encours</v>
      </c>
    </row>
    <row r="493" spans="1:5">
      <c r="A493" t="s">
        <v>1576</v>
      </c>
      <c r="B493" t="s">
        <v>1577</v>
      </c>
      <c r="C493" t="s">
        <v>1578</v>
      </c>
      <c r="D493" s="2" t="n">
        <v>343200</v>
      </c>
      <c r="E493" t="str">
        <f aca="1">INDEX('[1]Data Export (2)'!$A:$K,MATCH(A493,'[1]Data Export (2)'!$B:$B,0),11)</f>
        <v>Stocks et encours</v>
      </c>
    </row>
    <row r="494" spans="1:5">
      <c r="A494" t="s">
        <v>1579</v>
      </c>
      <c r="B494" t="s">
        <v>1580</v>
      </c>
      <c r="C494" t="s">
        <v>1581</v>
      </c>
      <c r="D494" s="2" t="n">
        <v>344000</v>
      </c>
      <c r="E494" t="str">
        <f aca="1">INDEX('[1]Data Export (2)'!$A:$K,MATCH(A494,'[1]Data Export (2)'!$B:$B,0),11)</f>
        <v>Stocks et encours</v>
      </c>
    </row>
    <row r="495" spans="1:5">
      <c r="A495" t="s">
        <v>1582</v>
      </c>
      <c r="B495" t="s">
        <v>1583</v>
      </c>
      <c r="C495" t="s">
        <v>1584</v>
      </c>
      <c r="D495" s="2" t="n">
        <v>344100</v>
      </c>
      <c r="E495" t="str">
        <f aca="1">INDEX('[1]Data Export (2)'!$A:$K,MATCH(A495,'[1]Data Export (2)'!$B:$B,0),11)</f>
        <v>Stocks et encours</v>
      </c>
    </row>
    <row r="496" spans="1:5">
      <c r="A496" t="s">
        <v>1585</v>
      </c>
      <c r="B496" t="s">
        <v>1586</v>
      </c>
      <c r="C496" t="s">
        <v>1587</v>
      </c>
      <c r="D496" s="2" t="n">
        <v>344200</v>
      </c>
      <c r="E496" t="str">
        <f aca="1">INDEX('[1]Data Export (2)'!$A:$K,MATCH(A496,'[1]Data Export (2)'!$B:$B,0),11)</f>
        <v>Stocks et encours</v>
      </c>
    </row>
    <row r="497" spans="1:5">
      <c r="A497" t="s">
        <v>1588</v>
      </c>
      <c r="B497" t="s">
        <v>1589</v>
      </c>
      <c r="C497" t="s">
        <v>1590</v>
      </c>
      <c r="D497" s="2" t="n">
        <v>345000</v>
      </c>
      <c r="E497" t="str">
        <f aca="1">INDEX('[1]Data Export (2)'!$A:$K,MATCH(A497,'[1]Data Export (2)'!$B:$B,0),11)</f>
        <v>Stocks et encours</v>
      </c>
    </row>
    <row r="498" spans="1:5">
      <c r="A498" t="s">
        <v>1591</v>
      </c>
      <c r="B498" t="s">
        <v>1592</v>
      </c>
      <c r="C498" t="s">
        <v>1593</v>
      </c>
      <c r="D498" s="2" t="n">
        <v>345100</v>
      </c>
      <c r="E498" t="str">
        <f aca="1">INDEX('[1]Data Export (2)'!$A:$K,MATCH(A498,'[1]Data Export (2)'!$B:$B,0),11)</f>
        <v>Stocks et encours</v>
      </c>
    </row>
    <row r="499" spans="1:5">
      <c r="A499" t="s">
        <v>1594</v>
      </c>
      <c r="B499" t="s">
        <v>1595</v>
      </c>
      <c r="C499" t="s">
        <v>1596</v>
      </c>
      <c r="D499" s="2" t="n">
        <v>345200</v>
      </c>
      <c r="E499" t="str">
        <f aca="1">INDEX('[1]Data Export (2)'!$A:$K,MATCH(A499,'[1]Data Export (2)'!$B:$B,0),11)</f>
        <v>Stocks et encours</v>
      </c>
    </row>
    <row r="500" spans="1:4">
      <c r="A500" t="s">
        <v>1597</v>
      </c>
      <c r="B500" t="s">
        <v>1598</v>
      </c>
      <c r="C500" t="s">
        <v>1599</v>
      </c>
      <c r="D500" s="2" t="n">
        <v>35</v>
      </c>
    </row>
    <row r="501" spans="1:5">
      <c r="A501" t="s">
        <v>1600</v>
      </c>
      <c r="B501" t="s">
        <v>1601</v>
      </c>
      <c r="C501" t="s">
        <v>1602</v>
      </c>
      <c r="D501" s="2" t="n">
        <v>351000</v>
      </c>
      <c r="E501" t="str">
        <f aca="1">INDEX('[1]Data Export (2)'!$A:$K,MATCH(A501,'[1]Data Export (2)'!$B:$B,0),11)</f>
        <v>Stocks et encours</v>
      </c>
    </row>
    <row r="502" spans="1:5">
      <c r="A502" t="s">
        <v>1603</v>
      </c>
      <c r="B502" t="s">
        <v>1604</v>
      </c>
      <c r="C502" t="s">
        <v>1605</v>
      </c>
      <c r="D502" s="2" t="n">
        <v>351100</v>
      </c>
      <c r="E502" t="str">
        <f aca="1">INDEX('[1]Data Export (2)'!$A:$K,MATCH(A502,'[1]Data Export (2)'!$B:$B,0),11)</f>
        <v>Stocks et encours</v>
      </c>
    </row>
    <row r="503" spans="1:5">
      <c r="A503" t="s">
        <v>1606</v>
      </c>
      <c r="B503" t="s">
        <v>1607</v>
      </c>
      <c r="C503" t="s">
        <v>1608</v>
      </c>
      <c r="D503" s="2" t="n">
        <v>351200</v>
      </c>
      <c r="E503" t="str">
        <f aca="1">INDEX('[1]Data Export (2)'!$A:$K,MATCH(A503,'[1]Data Export (2)'!$B:$B,0),11)</f>
        <v>Stocks et encours</v>
      </c>
    </row>
    <row r="504" spans="1:5">
      <c r="A504" t="s">
        <v>1609</v>
      </c>
      <c r="B504" t="s">
        <v>1610</v>
      </c>
      <c r="C504" t="s">
        <v>1611</v>
      </c>
      <c r="D504" s="2" t="n">
        <v>352000</v>
      </c>
      <c r="E504" t="str">
        <f aca="1">INDEX('[1]Data Export (2)'!$A:$K,MATCH(A504,'[1]Data Export (2)'!$B:$B,0),11)</f>
        <v>Stocks et encours</v>
      </c>
    </row>
    <row r="505" spans="1:5">
      <c r="A505" t="s">
        <v>1612</v>
      </c>
      <c r="B505" t="s">
        <v>1613</v>
      </c>
      <c r="C505" t="s">
        <v>1614</v>
      </c>
      <c r="D505" s="2" t="n">
        <v>352100</v>
      </c>
      <c r="E505" t="str">
        <f aca="1">INDEX('[1]Data Export (2)'!$A:$K,MATCH(A505,'[1]Data Export (2)'!$B:$B,0),11)</f>
        <v>Stocks et encours</v>
      </c>
    </row>
    <row r="506" spans="1:5">
      <c r="A506" t="s">
        <v>1615</v>
      </c>
      <c r="B506" t="s">
        <v>1616</v>
      </c>
      <c r="C506" t="s">
        <v>1617</v>
      </c>
      <c r="D506" s="2" t="n">
        <v>352200</v>
      </c>
      <c r="E506" t="str">
        <f aca="1">INDEX('[1]Data Export (2)'!$A:$K,MATCH(A506,'[1]Data Export (2)'!$B:$B,0),11)</f>
        <v>Stocks et encours</v>
      </c>
    </row>
    <row r="507" spans="1:4">
      <c r="A507" t="s">
        <v>1618</v>
      </c>
      <c r="B507" t="s">
        <v>1619</v>
      </c>
      <c r="C507" t="s">
        <v>1620</v>
      </c>
      <c r="D507" s="2" t="n">
        <v>36</v>
      </c>
    </row>
    <row r="508" spans="1:5">
      <c r="A508" t="s">
        <v>1621</v>
      </c>
      <c r="B508" t="s">
        <v>1622</v>
      </c>
      <c r="C508" t="s">
        <v>1623</v>
      </c>
      <c r="D508" s="2" t="n">
        <v>361000</v>
      </c>
      <c r="E508" t="str">
        <f aca="1">INDEX('[1]Data Export (2)'!$A:$K,MATCH(A508,'[1]Data Export (2)'!$B:$B,0),11)</f>
        <v>Stocks et encours</v>
      </c>
    </row>
    <row r="509" spans="1:5">
      <c r="A509" t="s">
        <v>1624</v>
      </c>
      <c r="B509" t="s">
        <v>1625</v>
      </c>
      <c r="C509" t="s">
        <v>1626</v>
      </c>
      <c r="D509" s="2" t="n">
        <v>362000</v>
      </c>
      <c r="E509" t="str">
        <f aca="1">INDEX('[1]Data Export (2)'!$A:$K,MATCH(A509,'[1]Data Export (2)'!$B:$B,0),11)</f>
        <v>Stocks et encours</v>
      </c>
    </row>
    <row r="510" spans="1:5">
      <c r="A510" t="s">
        <v>1627</v>
      </c>
      <c r="B510" t="s">
        <v>1628</v>
      </c>
      <c r="C510" t="s">
        <v>1629</v>
      </c>
      <c r="D510" s="2" t="n">
        <v>363000</v>
      </c>
      <c r="E510" t="str">
        <f aca="1">INDEX('[1]Data Export (2)'!$A:$K,MATCH(A510,'[1]Data Export (2)'!$B:$B,0),11)</f>
        <v>Stocks et encours</v>
      </c>
    </row>
    <row r="511" spans="1:5">
      <c r="A511" t="s">
        <v>1630</v>
      </c>
      <c r="B511" t="s">
        <v>1631</v>
      </c>
      <c r="C511" t="s">
        <v>1632</v>
      </c>
      <c r="D511" s="2" t="n">
        <v>363100</v>
      </c>
      <c r="E511" t="str">
        <f aca="1">INDEX('[1]Data Export (2)'!$A:$K,MATCH(A511,'[1]Data Export (2)'!$B:$B,0),11)</f>
        <v>Stocks et encours</v>
      </c>
    </row>
    <row r="512" spans="1:5">
      <c r="A512" t="s">
        <v>1633</v>
      </c>
      <c r="B512" t="s">
        <v>1634</v>
      </c>
      <c r="C512" t="s">
        <v>1635</v>
      </c>
      <c r="D512" s="2" t="n">
        <v>363200</v>
      </c>
      <c r="E512" t="str">
        <f aca="1">INDEX('[1]Data Export (2)'!$A:$K,MATCH(A512,'[1]Data Export (2)'!$B:$B,0),11)</f>
        <v>Stocks et encours</v>
      </c>
    </row>
    <row r="513" spans="1:5">
      <c r="A513" t="s">
        <v>1636</v>
      </c>
      <c r="B513" t="s">
        <v>1637</v>
      </c>
      <c r="C513" t="s">
        <v>1638</v>
      </c>
      <c r="D513" s="2" t="n">
        <v>363800</v>
      </c>
      <c r="E513" t="str">
        <f aca="1">INDEX('[1]Data Export (2)'!$A:$K,MATCH(A513,'[1]Data Export (2)'!$B:$B,0),11)</f>
        <v>Stocks et encours</v>
      </c>
    </row>
    <row r="514" spans="1:4">
      <c r="A514" t="s">
        <v>1639</v>
      </c>
      <c r="B514" t="s">
        <v>1640</v>
      </c>
      <c r="C514" t="s">
        <v>1641</v>
      </c>
      <c r="D514" s="2" t="n">
        <v>37</v>
      </c>
    </row>
    <row r="515" spans="1:5">
      <c r="A515" t="s">
        <v>1642</v>
      </c>
      <c r="B515" t="s">
        <v>1643</v>
      </c>
      <c r="C515" t="s">
        <v>1644</v>
      </c>
      <c r="D515" s="2" t="n">
        <v>371000</v>
      </c>
      <c r="E515" t="str">
        <f aca="1">INDEX('[1]Data Export (2)'!$A:$K,MATCH(A515,'[1]Data Export (2)'!$B:$B,0),11)</f>
        <v>Stocks et encours</v>
      </c>
    </row>
    <row r="516" spans="1:5">
      <c r="A516" t="s">
        <v>1645</v>
      </c>
      <c r="B516" t="s">
        <v>1646</v>
      </c>
      <c r="C516" t="s">
        <v>1647</v>
      </c>
      <c r="D516" s="2" t="n">
        <v>371100</v>
      </c>
      <c r="E516" t="str">
        <f aca="1">INDEX('[1]Data Export (2)'!$A:$K,MATCH(A516,'[1]Data Export (2)'!$B:$B,0),11)</f>
        <v>Stocks et encours</v>
      </c>
    </row>
    <row r="517" spans="1:5">
      <c r="A517" t="s">
        <v>1648</v>
      </c>
      <c r="B517" t="s">
        <v>1649</v>
      </c>
      <c r="C517" t="s">
        <v>1650</v>
      </c>
      <c r="D517" s="2" t="n">
        <v>371200</v>
      </c>
      <c r="E517" t="str">
        <f aca="1">INDEX('[1]Data Export (2)'!$A:$K,MATCH(A517,'[1]Data Export (2)'!$B:$B,0),11)</f>
        <v>Stocks et encours</v>
      </c>
    </row>
    <row r="518" spans="1:5">
      <c r="A518" t="s">
        <v>1651</v>
      </c>
      <c r="B518" t="s">
        <v>1652</v>
      </c>
      <c r="C518" t="s">
        <v>1653</v>
      </c>
      <c r="D518" s="2" t="n">
        <v>372000</v>
      </c>
      <c r="E518" t="str">
        <f aca="1">INDEX('[1]Data Export (2)'!$A:$K,MATCH(A518,'[1]Data Export (2)'!$B:$B,0),11)</f>
        <v>Stocks et encours</v>
      </c>
    </row>
    <row r="519" spans="1:5">
      <c r="A519" t="s">
        <v>1654</v>
      </c>
      <c r="B519" t="s">
        <v>1655</v>
      </c>
      <c r="C519" t="s">
        <v>1656</v>
      </c>
      <c r="D519" s="2" t="n">
        <v>372100</v>
      </c>
      <c r="E519" t="str">
        <f aca="1">INDEX('[1]Data Export (2)'!$A:$K,MATCH(A519,'[1]Data Export (2)'!$B:$B,0),11)</f>
        <v>Stocks et encours</v>
      </c>
    </row>
    <row r="520" spans="1:5">
      <c r="A520" t="s">
        <v>1657</v>
      </c>
      <c r="B520" t="s">
        <v>1658</v>
      </c>
      <c r="C520" t="s">
        <v>1659</v>
      </c>
      <c r="D520" s="2" t="n">
        <v>372200</v>
      </c>
      <c r="E520" t="str">
        <f aca="1">INDEX('[1]Data Export (2)'!$A:$K,MATCH(A520,'[1]Data Export (2)'!$B:$B,0),11)</f>
        <v>Stocks et encours</v>
      </c>
    </row>
    <row r="521" spans="1:5">
      <c r="A521" t="s">
        <v>1660</v>
      </c>
      <c r="B521" t="s">
        <v>1661</v>
      </c>
      <c r="C521" t="s">
        <v>1662</v>
      </c>
      <c r="D521" s="2" t="n">
        <v>372300</v>
      </c>
      <c r="E521" t="str">
        <f aca="1">INDEX('[1]Data Export (2)'!$A:$K,MATCH(A521,'[1]Data Export (2)'!$B:$B,0),11)</f>
        <v>Stocks et encours</v>
      </c>
    </row>
    <row r="522" spans="1:5">
      <c r="A522" t="s">
        <v>1663</v>
      </c>
      <c r="B522" t="s">
        <v>1664</v>
      </c>
      <c r="C522" t="s">
        <v>1665</v>
      </c>
      <c r="D522" s="2" t="n">
        <v>373000</v>
      </c>
      <c r="E522" t="str">
        <f aca="1">INDEX('[1]Data Export (2)'!$A:$K,MATCH(A522,'[1]Data Export (2)'!$B:$B,0),11)</f>
        <v>Stocks et encours</v>
      </c>
    </row>
    <row r="523" spans="1:5">
      <c r="A523" t="s">
        <v>1666</v>
      </c>
      <c r="B523" t="s">
        <v>1667</v>
      </c>
      <c r="C523" t="s">
        <v>1668</v>
      </c>
      <c r="D523" s="2" t="n">
        <v>373100</v>
      </c>
      <c r="E523" t="str">
        <f aca="1">INDEX('[1]Data Export (2)'!$A:$K,MATCH(A523,'[1]Data Export (2)'!$B:$B,0),11)</f>
        <v>Stocks et encours</v>
      </c>
    </row>
    <row r="524" spans="1:5">
      <c r="A524" t="s">
        <v>1669</v>
      </c>
      <c r="B524" t="s">
        <v>1670</v>
      </c>
      <c r="C524" t="s">
        <v>1671</v>
      </c>
      <c r="D524" s="2" t="n">
        <v>373200</v>
      </c>
      <c r="E524" t="str">
        <f aca="1">INDEX('[1]Data Export (2)'!$A:$K,MATCH(A524,'[1]Data Export (2)'!$B:$B,0),11)</f>
        <v>Stocks et encours</v>
      </c>
    </row>
    <row r="525" spans="1:5">
      <c r="A525" t="s">
        <v>1672</v>
      </c>
      <c r="B525" t="s">
        <v>1673</v>
      </c>
      <c r="C525" t="s">
        <v>1674</v>
      </c>
      <c r="D525" s="2" t="n">
        <v>373800</v>
      </c>
      <c r="E525" t="str">
        <f aca="1">INDEX('[1]Data Export (2)'!$A:$K,MATCH(A525,'[1]Data Export (2)'!$B:$B,0),11)</f>
        <v>Stocks et encours</v>
      </c>
    </row>
    <row r="526" spans="1:6">
      <c r="A526" t="s">
        <v>1675</v>
      </c>
      <c r="B526" t="s">
        <v>1676</v>
      </c>
      <c r="C526" t="s">
        <v>1677</v>
      </c>
      <c r="D526" s="2" t="n">
        <v>38</v>
      </c>
      <c r="F526" t="s">
        <v>1678</v>
      </c>
    </row>
    <row r="527" spans="1:5">
      <c r="A527" t="s">
        <v>1679</v>
      </c>
      <c r="B527" t="s">
        <v>1680</v>
      </c>
      <c r="C527" t="s">
        <v>1681</v>
      </c>
      <c r="D527" s="2" t="n">
        <v>381000</v>
      </c>
      <c r="E527" t="str">
        <f aca="1">INDEX('[1]Data Export (2)'!$A:$K,MATCH(A527,'[1]Data Export (2)'!$B:$B,0),11)</f>
        <v>Stocks et encours</v>
      </c>
    </row>
    <row r="528" spans="1:5">
      <c r="A528" t="s">
        <v>1682</v>
      </c>
      <c r="B528" t="s">
        <v>1683</v>
      </c>
      <c r="C528" t="s">
        <v>1684</v>
      </c>
      <c r="D528" s="2" t="n">
        <v>382000</v>
      </c>
      <c r="E528" t="str">
        <f aca="1">INDEX('[1]Data Export (2)'!$A:$K,MATCH(A528,'[1]Data Export (2)'!$B:$B,0),11)</f>
        <v>Stocks et encours</v>
      </c>
    </row>
    <row r="529" spans="1:5">
      <c r="A529" t="s">
        <v>1685</v>
      </c>
      <c r="B529" t="s">
        <v>1686</v>
      </c>
      <c r="C529" t="s">
        <v>1687</v>
      </c>
      <c r="D529" s="2" t="n">
        <v>383000</v>
      </c>
      <c r="E529" t="str">
        <f aca="1">INDEX('[1]Data Export (2)'!$A:$K,MATCH(A529,'[1]Data Export (2)'!$B:$B,0),11)</f>
        <v>Stocks et encours</v>
      </c>
    </row>
    <row r="530" spans="1:5">
      <c r="A530" t="s">
        <v>1688</v>
      </c>
      <c r="B530" t="s">
        <v>1689</v>
      </c>
      <c r="C530" t="s">
        <v>1690</v>
      </c>
      <c r="D530" s="2" t="n">
        <v>386000</v>
      </c>
      <c r="E530" t="str">
        <f aca="1">INDEX('[1]Data Export (2)'!$A:$K,MATCH(A530,'[1]Data Export (2)'!$B:$B,0),11)</f>
        <v>Stocks et encours</v>
      </c>
    </row>
    <row r="531" spans="1:5">
      <c r="A531" t="s">
        <v>1691</v>
      </c>
      <c r="B531" t="s">
        <v>1692</v>
      </c>
      <c r="C531" t="s">
        <v>1693</v>
      </c>
      <c r="D531" s="2" t="n">
        <v>387000</v>
      </c>
      <c r="E531" t="str">
        <f aca="1">INDEX('[1]Data Export (2)'!$A:$K,MATCH(A531,'[1]Data Export (2)'!$B:$B,0),11)</f>
        <v>Stocks et encours</v>
      </c>
    </row>
    <row r="532" spans="1:5">
      <c r="A532" t="s">
        <v>1694</v>
      </c>
      <c r="B532" t="s">
        <v>1695</v>
      </c>
      <c r="C532" t="s">
        <v>1696</v>
      </c>
      <c r="D532" s="2" t="n">
        <v>387100</v>
      </c>
      <c r="E532" t="str">
        <f aca="1">INDEX('[1]Data Export (2)'!$A:$K,MATCH(A532,'[1]Data Export (2)'!$B:$B,0),11)</f>
        <v>Stocks et encours</v>
      </c>
    </row>
    <row r="533" spans="1:5">
      <c r="A533" t="s">
        <v>1697</v>
      </c>
      <c r="B533" t="s">
        <v>1698</v>
      </c>
      <c r="C533" t="s">
        <v>1699</v>
      </c>
      <c r="D533" s="2" t="n">
        <v>387200</v>
      </c>
      <c r="E533" t="str">
        <f aca="1">INDEX('[1]Data Export (2)'!$A:$K,MATCH(A533,'[1]Data Export (2)'!$B:$B,0),11)</f>
        <v>Stocks et encours</v>
      </c>
    </row>
    <row r="534" spans="1:5">
      <c r="A534" t="s">
        <v>1700</v>
      </c>
      <c r="B534" t="s">
        <v>1701</v>
      </c>
      <c r="C534" t="s">
        <v>1702</v>
      </c>
      <c r="D534" s="2" t="n">
        <v>388000</v>
      </c>
      <c r="E534" t="str">
        <f aca="1">INDEX('[1]Data Export (2)'!$A:$K,MATCH(A534,'[1]Data Export (2)'!$B:$B,0),11)</f>
        <v>Stocks et encours</v>
      </c>
    </row>
    <row r="535" spans="1:4">
      <c r="A535" t="s">
        <v>1703</v>
      </c>
      <c r="B535" t="s">
        <v>1704</v>
      </c>
      <c r="C535" t="s">
        <v>1705</v>
      </c>
      <c r="D535" s="2" t="n">
        <v>39</v>
      </c>
    </row>
    <row r="536" spans="1:5">
      <c r="A536" t="s">
        <v>1706</v>
      </c>
      <c r="B536" t="s">
        <v>1707</v>
      </c>
      <c r="C536" t="s">
        <v>1708</v>
      </c>
      <c r="D536" s="2" t="n">
        <v>391000</v>
      </c>
      <c r="E536" t="str">
        <f aca="1">INDEX('[1]Data Export (2)'!$A:$K,MATCH(A536,'[1]Data Export (2)'!$B:$B,0),11)</f>
        <v>Dépréciation des stocks et encours</v>
      </c>
    </row>
    <row r="537" spans="1:5">
      <c r="A537" t="s">
        <v>1709</v>
      </c>
      <c r="B537" t="s">
        <v>1710</v>
      </c>
      <c r="C537" t="s">
        <v>1711</v>
      </c>
      <c r="D537" s="2" t="n">
        <v>392000</v>
      </c>
      <c r="E537" t="str">
        <f aca="1">INDEX('[1]Data Export (2)'!$A:$K,MATCH(A537,'[1]Data Export (2)'!$B:$B,0),11)</f>
        <v>Dépréciation des stocks et encours</v>
      </c>
    </row>
    <row r="538" spans="1:5">
      <c r="A538" t="s">
        <v>1712</v>
      </c>
      <c r="B538" t="s">
        <v>1713</v>
      </c>
      <c r="C538" t="s">
        <v>1714</v>
      </c>
      <c r="D538" s="2" t="n">
        <v>393000</v>
      </c>
      <c r="E538" t="str">
        <f aca="1">INDEX('[1]Data Export (2)'!$A:$K,MATCH(A538,'[1]Data Export (2)'!$B:$B,0),11)</f>
        <v>Dépréciation des stocks et encours</v>
      </c>
    </row>
    <row r="539" spans="1:5">
      <c r="A539" t="s">
        <v>1715</v>
      </c>
      <c r="B539" t="s">
        <v>1716</v>
      </c>
      <c r="C539" t="s">
        <v>1717</v>
      </c>
      <c r="D539" s="2" t="n">
        <v>394000</v>
      </c>
      <c r="E539" t="str">
        <f aca="1">INDEX('[1]Data Export (2)'!$A:$K,MATCH(A539,'[1]Data Export (2)'!$B:$B,0),11)</f>
        <v>Dépréciation des stocks et encours</v>
      </c>
    </row>
    <row r="540" spans="1:5">
      <c r="A540" t="s">
        <v>1718</v>
      </c>
      <c r="B540" t="s">
        <v>1719</v>
      </c>
      <c r="C540" t="s">
        <v>1720</v>
      </c>
      <c r="D540" s="2" t="n">
        <v>395000</v>
      </c>
      <c r="E540" t="str">
        <f aca="1">INDEX('[1]Data Export (2)'!$A:$K,MATCH(A540,'[1]Data Export (2)'!$B:$B,0),11)</f>
        <v>Dépréciation des stocks et encours</v>
      </c>
    </row>
    <row r="541" spans="1:5">
      <c r="A541" t="s">
        <v>1721</v>
      </c>
      <c r="B541" t="s">
        <v>1722</v>
      </c>
      <c r="C541" t="s">
        <v>1723</v>
      </c>
      <c r="D541" s="2" t="n">
        <v>396000</v>
      </c>
      <c r="E541" t="str">
        <f aca="1">INDEX('[1]Data Export (2)'!$A:$K,MATCH(A541,'[1]Data Export (2)'!$B:$B,0),11)</f>
        <v>Dépréciation des stocks et encours</v>
      </c>
    </row>
    <row r="542" spans="1:5">
      <c r="A542" t="s">
        <v>1724</v>
      </c>
      <c r="B542" t="s">
        <v>1725</v>
      </c>
      <c r="C542" t="s">
        <v>1726</v>
      </c>
      <c r="D542" s="2" t="n">
        <v>397000</v>
      </c>
      <c r="E542" t="str">
        <f aca="1">INDEX('[1]Data Export (2)'!$A:$K,MATCH(A542,'[1]Data Export (2)'!$B:$B,0),11)</f>
        <v>Dépréciation des stocks et encours</v>
      </c>
    </row>
    <row r="543" spans="1:5">
      <c r="A543" t="s">
        <v>1727</v>
      </c>
      <c r="B543" t="s">
        <v>1728</v>
      </c>
      <c r="C543" t="s">
        <v>1729</v>
      </c>
      <c r="D543" s="2" t="n">
        <v>398000</v>
      </c>
      <c r="E543" t="str">
        <f aca="1">INDEX('[1]Data Export (2)'!$A:$K,MATCH(A543,'[1]Data Export (2)'!$B:$B,0),11)</f>
        <v>Dépréciation des stocks et encours</v>
      </c>
    </row>
    <row r="544" spans="1:2">
      <c r="A544" t="s">
        <v>1730</v>
      </c>
      <c r="B544" t="s">
        <v>1731</v>
      </c>
    </row>
    <row r="545" spans="1:4">
      <c r="A545" t="s">
        <v>1732</v>
      </c>
      <c r="B545" t="s">
        <v>1733</v>
      </c>
      <c r="C545" t="s">
        <v>1734</v>
      </c>
      <c r="D545" s="4" t="str">
        <f>RIGHT(LEFT(A545,3),2)</f>
        <v>40</v>
      </c>
    </row>
    <row r="546" spans="1:5">
      <c r="A546" t="s">
        <v>1735</v>
      </c>
      <c r="B546" t="s">
        <v>1736</v>
      </c>
      <c r="C546" t="s">
        <v>1737</v>
      </c>
      <c r="D546" s="2" t="n">
        <v>409000</v>
      </c>
      <c r="E546" t="str">
        <f aca="1">INDEX('[1]Data Export (2)'!$A:$K,MATCH(A546,'[1]Data Export (2)'!$B:$B,0),11)</f>
        <v>Fournisseurs, avances versées</v>
      </c>
    </row>
    <row r="547" spans="1:5">
      <c r="A547" t="s">
        <v>1738</v>
      </c>
      <c r="B547" t="s">
        <v>1739</v>
      </c>
      <c r="C547" t="s">
        <v>1740</v>
      </c>
      <c r="D547" s="2" t="n">
        <v>409100</v>
      </c>
      <c r="E547" t="str">
        <f aca="1">INDEX('[1]Data Export (2)'!$A:$K,MATCH(A547,'[1]Data Export (2)'!$B:$B,0),11)</f>
        <v>Fournisseurs, avances versées</v>
      </c>
    </row>
    <row r="548" spans="1:5">
      <c r="A548" t="s">
        <v>1741</v>
      </c>
      <c r="B548" t="s">
        <v>1742</v>
      </c>
      <c r="C548" t="s">
        <v>1743</v>
      </c>
      <c r="D548" s="2" t="n">
        <v>409200</v>
      </c>
      <c r="E548" t="str">
        <f aca="1">INDEX('[1]Data Export (2)'!$A:$K,MATCH(A548,'[1]Data Export (2)'!$B:$B,0),11)</f>
        <v>Fournisseurs, avances versées</v>
      </c>
    </row>
    <row r="549" spans="1:5">
      <c r="A549" t="s">
        <v>1744</v>
      </c>
      <c r="B549" t="s">
        <v>1745</v>
      </c>
      <c r="C549" t="s">
        <v>1746</v>
      </c>
      <c r="D549" s="2" t="n">
        <v>409300</v>
      </c>
      <c r="E549" t="str">
        <f aca="1">INDEX('[1]Data Export (2)'!$A:$K,MATCH(D549,'[1]Data Export (2)'!$F:$F,0),11)</f>
        <v>Fournisseurs, avances versées</v>
      </c>
    </row>
    <row r="550" spans="1:5">
      <c r="A550" t="s">
        <v>1747</v>
      </c>
      <c r="B550" t="s">
        <v>1748</v>
      </c>
      <c r="C550" t="s">
        <v>1749</v>
      </c>
      <c r="D550" s="2" t="n">
        <v>409400</v>
      </c>
      <c r="E550" t="str">
        <f aca="1">INDEX('[1]Data Export (2)'!$A:$K,MATCH(A550,'[1]Data Export (2)'!$B:$B,0),11)</f>
        <v>Fournisseurs, avances versées</v>
      </c>
    </row>
    <row r="551" spans="1:5">
      <c r="A551" t="s">
        <v>1750</v>
      </c>
      <c r="B551" t="s">
        <v>1751</v>
      </c>
      <c r="C551" t="s">
        <v>1752</v>
      </c>
      <c r="D551" s="2" t="n">
        <v>409800</v>
      </c>
      <c r="E551" t="str">
        <f aca="1">INDEX('[1]Data Export (2)'!$A:$K,MATCH(A551,'[1]Data Export (2)'!$B:$B,0),11)</f>
        <v>Fournisseurs, avances versées</v>
      </c>
    </row>
    <row r="552" spans="1:6">
      <c r="A552" t="s">
        <v>1753</v>
      </c>
      <c r="B552" t="s">
        <v>1754</v>
      </c>
      <c r="C552" t="s">
        <v>1755</v>
      </c>
      <c r="D552" s="4" t="str">
        <f>RIGHT(LEFT(A552,3),2)</f>
        <v>41</v>
      </c>
      <c r="F552" t="s">
        <v>1756</v>
      </c>
    </row>
    <row r="553" spans="1:6">
      <c r="A553" t="s">
        <v>1757</v>
      </c>
      <c r="B553" t="s">
        <v>1758</v>
      </c>
      <c r="C553" t="s">
        <v>1759</v>
      </c>
      <c r="D553" s="2" t="n">
        <v>411000</v>
      </c>
      <c r="E553" t="str">
        <f aca="1">INDEX('[1]Data Export (2)'!$A:$K,MATCH(A553,'[1]Data Export (2)'!$B:$B,0),11)</f>
        <v>Clients</v>
      </c>
      <c r="F553" t="s">
        <v>1760</v>
      </c>
    </row>
    <row r="554" spans="1:6">
      <c r="A554" t="s">
        <v>1761</v>
      </c>
      <c r="B554" t="s">
        <v>1762</v>
      </c>
      <c r="C554" t="s">
        <v>1763</v>
      </c>
      <c r="D554" s="2" t="n">
        <v>411100</v>
      </c>
      <c r="E554" t="str">
        <f aca="1">INDEX('[1]Data Export (2)'!$A:$K,MATCH(A554,'[1]Data Export (2)'!$B:$B,0),11)</f>
        <v>Clients</v>
      </c>
      <c r="F554" t="s">
        <v>1764</v>
      </c>
    </row>
    <row r="555" spans="1:6">
      <c r="A555" t="s">
        <v>1765</v>
      </c>
      <c r="B555" t="s">
        <v>1766</v>
      </c>
      <c r="C555" t="s">
        <v>1767</v>
      </c>
      <c r="D555" s="2" t="n">
        <v>411200</v>
      </c>
      <c r="E555" t="str">
        <f aca="1">INDEX('[1]Data Export (2)'!$A:$K,MATCH(A555,'[1]Data Export (2)'!$B:$B,0),11)</f>
        <v>Clients</v>
      </c>
      <c r="F555" t="s">
        <v>1768</v>
      </c>
    </row>
    <row r="556" spans="1:6">
      <c r="A556" t="s">
        <v>1769</v>
      </c>
      <c r="B556" t="s">
        <v>1770</v>
      </c>
      <c r="C556" t="s">
        <v>1771</v>
      </c>
      <c r="D556" s="2" t="n">
        <v>411400</v>
      </c>
      <c r="E556" t="str">
        <f aca="1">INDEX('[1]Data Export (2)'!$A:$K,MATCH(A556,'[1]Data Export (2)'!$B:$B,0),11)</f>
        <v>Clients</v>
      </c>
      <c r="F556" t="s">
        <v>1772</v>
      </c>
    </row>
    <row r="557" spans="1:6">
      <c r="A557" t="s">
        <v>1773</v>
      </c>
      <c r="B557" t="s">
        <v>1774</v>
      </c>
      <c r="C557" t="s">
        <v>1775</v>
      </c>
      <c r="D557" s="2" t="n">
        <v>411500</v>
      </c>
      <c r="E557" t="str">
        <f aca="1">INDEX('[1]Data Export (2)'!$A:$K,MATCH(A557,'[1]Data Export (2)'!$B:$B,0),11)</f>
        <v>Clients</v>
      </c>
      <c r="F557" t="s">
        <v>1776</v>
      </c>
    </row>
    <row r="558" spans="1:6">
      <c r="A558" t="s">
        <v>1777</v>
      </c>
      <c r="B558" t="s">
        <v>1778</v>
      </c>
      <c r="C558" t="s">
        <v>1779</v>
      </c>
      <c r="D558" s="2" t="n">
        <v>411600</v>
      </c>
      <c r="E558" t="str">
        <f aca="1">INDEX('[1]Data Export (2)'!$A:$K,MATCH(A558,'[1]Data Export (2)'!$B:$B,0),11)</f>
        <v>Clients</v>
      </c>
      <c r="F558" t="s">
        <v>1780</v>
      </c>
    </row>
    <row r="559" spans="1:6">
      <c r="A559" t="s">
        <v>1781</v>
      </c>
      <c r="B559" t="s">
        <v>1782</v>
      </c>
      <c r="C559" t="s">
        <v>1783</v>
      </c>
      <c r="D559" s="2" t="n">
        <v>411700</v>
      </c>
      <c r="E559" t="str">
        <f aca="1">INDEX('[1]Data Export (2)'!$A:$K,MATCH(A559,'[1]Data Export (2)'!$B:$B,0),11)</f>
        <v>Clients</v>
      </c>
      <c r="F559" t="s">
        <v>1784</v>
      </c>
    </row>
    <row r="560" spans="1:6">
      <c r="A560" t="s">
        <v>1785</v>
      </c>
      <c r="B560" t="s">
        <v>1786</v>
      </c>
      <c r="C560" t="s">
        <v>1787</v>
      </c>
      <c r="D560" s="2" t="n">
        <v>411800</v>
      </c>
      <c r="E560" t="str">
        <f aca="1">INDEX('[1]Data Export (2)'!$A:$K,MATCH(A560,'[1]Data Export (2)'!$B:$B,0),11)</f>
        <v>Clients</v>
      </c>
      <c r="F560" t="s">
        <v>1788</v>
      </c>
    </row>
    <row r="561" spans="1:6">
      <c r="A561" t="s">
        <v>1789</v>
      </c>
      <c r="B561" t="s">
        <v>1790</v>
      </c>
      <c r="C561" t="s">
        <v>1791</v>
      </c>
      <c r="D561" s="2" t="n">
        <v>412000</v>
      </c>
      <c r="E561" t="str">
        <f aca="1">INDEX('[1]Data Export (2)'!$A:$K,MATCH(A561,'[1]Data Export (2)'!$B:$B,0),11)</f>
        <v>Clients</v>
      </c>
      <c r="F561" t="s">
        <v>1792</v>
      </c>
    </row>
    <row r="562" spans="1:6">
      <c r="A562" t="s">
        <v>1793</v>
      </c>
      <c r="B562" t="s">
        <v>1794</v>
      </c>
      <c r="C562" t="s">
        <v>1795</v>
      </c>
      <c r="D562" s="2" t="n">
        <v>412100</v>
      </c>
      <c r="E562" t="str">
        <f aca="1">INDEX('[1]Data Export (2)'!$A:$K,MATCH(A562,'[1]Data Export (2)'!$B:$B,0),11)</f>
        <v>Clients</v>
      </c>
      <c r="F562" t="s">
        <v>1796</v>
      </c>
    </row>
    <row r="563" spans="1:6">
      <c r="A563" t="s">
        <v>1797</v>
      </c>
      <c r="B563" t="s">
        <v>1798</v>
      </c>
      <c r="C563" t="s">
        <v>1799</v>
      </c>
      <c r="D563" s="2" t="n">
        <v>412200</v>
      </c>
      <c r="E563" t="str">
        <f aca="1">INDEX('[1]Data Export (2)'!$A:$K,MATCH(A563,'[1]Data Export (2)'!$B:$B,0),11)</f>
        <v>Clients</v>
      </c>
      <c r="F563" t="s">
        <v>1800</v>
      </c>
    </row>
    <row r="564" spans="1:6">
      <c r="A564" t="s">
        <v>1801</v>
      </c>
      <c r="B564" t="s">
        <v>1802</v>
      </c>
      <c r="C564" t="s">
        <v>1803</v>
      </c>
      <c r="D564" s="2" t="n">
        <v>412400</v>
      </c>
      <c r="E564" t="str">
        <f aca="1">INDEX('[1]Data Export (2)'!$A:$K,MATCH(A564,'[1]Data Export (2)'!$B:$B,0),11)</f>
        <v>Clients</v>
      </c>
      <c r="F564" t="s">
        <v>1804</v>
      </c>
    </row>
    <row r="565" spans="1:6">
      <c r="A565" t="s">
        <v>1805</v>
      </c>
      <c r="B565" t="s">
        <v>1806</v>
      </c>
      <c r="C565" t="s">
        <v>1807</v>
      </c>
      <c r="D565" s="2" t="n">
        <v>412500</v>
      </c>
      <c r="E565" t="str">
        <f aca="1">INDEX('[1]Data Export (2)'!$A:$K,MATCH(A565,'[1]Data Export (2)'!$B:$B,0),11)</f>
        <v>Clients</v>
      </c>
      <c r="F565" t="s">
        <v>1808</v>
      </c>
    </row>
    <row r="566" spans="1:6">
      <c r="A566" t="s">
        <v>1809</v>
      </c>
      <c r="B566" t="s">
        <v>1810</v>
      </c>
      <c r="C566" t="s">
        <v>1811</v>
      </c>
      <c r="D566" s="2" t="n">
        <v>413000</v>
      </c>
      <c r="E566" t="str">
        <f aca="1">INDEX('[1]Data Export (2)'!$A:$K,MATCH(A566,'[1]Data Export (2)'!$B:$B,0),11)</f>
        <v>Clients</v>
      </c>
      <c r="F566" t="s">
        <v>1812</v>
      </c>
    </row>
    <row r="567" spans="1:6">
      <c r="A567" t="s">
        <v>1813</v>
      </c>
      <c r="B567" t="s">
        <v>1814</v>
      </c>
      <c r="C567" t="s">
        <v>1815</v>
      </c>
      <c r="D567" s="2" t="n">
        <v>413100</v>
      </c>
      <c r="E567" t="str">
        <f aca="1">INDEX('[1]Data Export (2)'!$A:$K,MATCH(A567,'[1]Data Export (2)'!$B:$B,0),11)</f>
        <v>Clients</v>
      </c>
      <c r="F567" t="s">
        <v>1816</v>
      </c>
    </row>
    <row r="568" spans="1:6">
      <c r="A568" t="s">
        <v>1817</v>
      </c>
      <c r="B568" t="s">
        <v>1818</v>
      </c>
      <c r="C568" t="s">
        <v>1819</v>
      </c>
      <c r="D568" s="2" t="n">
        <v>413200</v>
      </c>
      <c r="E568" t="str">
        <f aca="1">INDEX('[1]Data Export (2)'!$A:$K,MATCH(A568,'[1]Data Export (2)'!$B:$B,0),11)</f>
        <v>Clients</v>
      </c>
      <c r="F568" t="s">
        <v>1820</v>
      </c>
    </row>
    <row r="569" spans="1:6">
      <c r="A569" t="s">
        <v>1821</v>
      </c>
      <c r="B569" t="s">
        <v>1822</v>
      </c>
      <c r="C569" t="s">
        <v>1823</v>
      </c>
      <c r="D569" s="2" t="n">
        <v>413300</v>
      </c>
      <c r="E569" t="str">
        <f aca="1">INDEX('[1]Data Export (2)'!$A:$K,MATCH(A569,'[1]Data Export (2)'!$B:$B,0),11)</f>
        <v>Clients</v>
      </c>
      <c r="F569" t="s">
        <v>1824</v>
      </c>
    </row>
    <row r="570" spans="1:6">
      <c r="A570" t="s">
        <v>1825</v>
      </c>
      <c r="B570" t="s">
        <v>1826</v>
      </c>
      <c r="C570" t="s">
        <v>1827</v>
      </c>
      <c r="D570" s="2" t="n">
        <v>413800</v>
      </c>
      <c r="E570" t="str">
        <f aca="1">INDEX('[1]Data Export (2)'!$A:$K,MATCH(A570,'[1]Data Export (2)'!$B:$B,0),11)</f>
        <v>Clients</v>
      </c>
      <c r="F570" t="s">
        <v>1828</v>
      </c>
    </row>
    <row r="571" spans="1:6">
      <c r="A571" t="s">
        <v>1829</v>
      </c>
      <c r="B571" t="s">
        <v>1830</v>
      </c>
      <c r="C571" t="s">
        <v>1831</v>
      </c>
      <c r="D571" s="2" t="n">
        <v>414000</v>
      </c>
      <c r="E571" t="str">
        <f aca="1">INDEX('[1]Data Export (2)'!$A:$K,MATCH(A571,'[1]Data Export (2)'!$B:$B,0),11)</f>
        <v>Clients</v>
      </c>
      <c r="F571" t="s">
        <v>1832</v>
      </c>
    </row>
    <row r="572" spans="1:6">
      <c r="A572" t="s">
        <v>1833</v>
      </c>
      <c r="B572" t="s">
        <v>1834</v>
      </c>
      <c r="C572" t="s">
        <v>1835</v>
      </c>
      <c r="D572" s="2" t="n">
        <v>414100</v>
      </c>
      <c r="E572" t="str">
        <f aca="1">INDEX('[1]Data Export (2)'!$A:$K,MATCH(A572,'[1]Data Export (2)'!$B:$B,0),11)</f>
        <v>Clients</v>
      </c>
      <c r="F572" t="s">
        <v>1836</v>
      </c>
    </row>
    <row r="573" spans="1:6">
      <c r="A573" t="s">
        <v>1837</v>
      </c>
      <c r="B573" t="s">
        <v>1838</v>
      </c>
      <c r="C573" t="s">
        <v>1839</v>
      </c>
      <c r="D573" s="2" t="n">
        <v>414200</v>
      </c>
      <c r="E573" t="str">
        <f aca="1">INDEX('[1]Data Export (2)'!$A:$K,MATCH(A573,'[1]Data Export (2)'!$B:$B,0),11)</f>
        <v>Clients</v>
      </c>
      <c r="F573" t="s">
        <v>1840</v>
      </c>
    </row>
    <row r="574" spans="1:6">
      <c r="A574" t="s">
        <v>1841</v>
      </c>
      <c r="B574" t="s">
        <v>1842</v>
      </c>
      <c r="C574" t="s">
        <v>1843</v>
      </c>
      <c r="D574" s="2" t="n">
        <v>414600</v>
      </c>
      <c r="E574" t="str">
        <f aca="1">INDEX('[1]Data Export (2)'!$A:$K,MATCH(A574,'[1]Data Export (2)'!$B:$B,0),11)</f>
        <v>Clients</v>
      </c>
      <c r="F574" t="s">
        <v>1844</v>
      </c>
    </row>
    <row r="575" spans="1:6">
      <c r="A575" t="s">
        <v>1845</v>
      </c>
      <c r="B575" t="s">
        <v>1846</v>
      </c>
      <c r="C575" t="s">
        <v>1847</v>
      </c>
      <c r="D575" s="2" t="n">
        <v>414700</v>
      </c>
      <c r="E575" t="str">
        <f aca="1">INDEX('[1]Data Export (2)'!$A:$K,MATCH(A575,'[1]Data Export (2)'!$B:$B,0),11)</f>
        <v>Clients</v>
      </c>
      <c r="F575" t="s">
        <v>1848</v>
      </c>
    </row>
    <row r="576" spans="1:6">
      <c r="A576" t="s">
        <v>1849</v>
      </c>
      <c r="B576" t="s">
        <v>1850</v>
      </c>
      <c r="C576" t="s">
        <v>1851</v>
      </c>
      <c r="D576" s="2" t="n">
        <v>415000</v>
      </c>
      <c r="E576" t="str">
        <f aca="1">INDEX('[1]Data Export (2)'!$A:$K,MATCH(A576,'[1]Data Export (2)'!$B:$B,0),11)</f>
        <v>Clients</v>
      </c>
      <c r="F576" t="s">
        <v>1852</v>
      </c>
    </row>
    <row r="577" spans="1:6">
      <c r="A577" t="s">
        <v>1853</v>
      </c>
      <c r="B577" t="s">
        <v>1854</v>
      </c>
      <c r="C577" t="s">
        <v>1855</v>
      </c>
      <c r="D577" s="2" t="n">
        <v>416000</v>
      </c>
      <c r="E577" t="str">
        <f aca="1">INDEX('[1]Data Export (2)'!$A:$K,MATCH(A577,'[1]Data Export (2)'!$B:$B,0),11)</f>
        <v>Clients</v>
      </c>
      <c r="F577" t="s">
        <v>1856</v>
      </c>
    </row>
    <row r="578" spans="1:6">
      <c r="A578" t="s">
        <v>1857</v>
      </c>
      <c r="B578" t="s">
        <v>1858</v>
      </c>
      <c r="C578" t="s">
        <v>1859</v>
      </c>
      <c r="D578" s="2" t="n">
        <v>416100</v>
      </c>
      <c r="E578" t="str">
        <f aca="1">INDEX('[1]Data Export (2)'!$A:$K,MATCH(A578,'[1]Data Export (2)'!$B:$B,0),11)</f>
        <v>Clients</v>
      </c>
      <c r="F578" t="s">
        <v>1860</v>
      </c>
    </row>
    <row r="579" spans="1:6">
      <c r="A579" t="s">
        <v>1861</v>
      </c>
      <c r="B579" t="s">
        <v>1862</v>
      </c>
      <c r="C579" t="s">
        <v>1863</v>
      </c>
      <c r="D579" s="2" t="n">
        <v>416200</v>
      </c>
      <c r="E579" t="str">
        <f aca="1">INDEX('[1]Data Export (2)'!$A:$K,MATCH(A579,'[1]Data Export (2)'!$B:$B,0),11)</f>
        <v>Clients</v>
      </c>
      <c r="F579" t="s">
        <v>1864</v>
      </c>
    </row>
    <row r="580" spans="1:6">
      <c r="A580" t="s">
        <v>1865</v>
      </c>
      <c r="B580" t="s">
        <v>1866</v>
      </c>
      <c r="C580" t="s">
        <v>1867</v>
      </c>
      <c r="D580" s="2" t="n">
        <v>418000</v>
      </c>
      <c r="E580" t="str">
        <f aca="1">INDEX('[1]Data Export (2)'!$A:$K,MATCH(A580,'[1]Data Export (2)'!$B:$B,0),11)</f>
        <v>Clients</v>
      </c>
      <c r="F580" t="s">
        <v>1868</v>
      </c>
    </row>
    <row r="581" spans="1:6">
      <c r="A581" t="s">
        <v>1869</v>
      </c>
      <c r="B581" t="s">
        <v>1870</v>
      </c>
      <c r="C581" t="s">
        <v>1871</v>
      </c>
      <c r="D581" s="2" t="n">
        <v>418100</v>
      </c>
      <c r="E581" t="str">
        <f aca="1">INDEX('[1]Data Export (2)'!$A:$K,MATCH(A581,'[1]Data Export (2)'!$B:$B,0),11)</f>
        <v>Clients</v>
      </c>
      <c r="F581" t="s">
        <v>1872</v>
      </c>
    </row>
    <row r="582" spans="1:6">
      <c r="A582" t="s">
        <v>1873</v>
      </c>
      <c r="B582" t="s">
        <v>1874</v>
      </c>
      <c r="C582" t="s">
        <v>1875</v>
      </c>
      <c r="D582" s="2" t="n">
        <v>418600</v>
      </c>
      <c r="E582" t="str">
        <f aca="1">INDEX('[1]Data Export (2)'!$A:$K,MATCH(A582,'[1]Data Export (2)'!$B:$B,0),11)</f>
        <v>Clients</v>
      </c>
      <c r="F582" t="s">
        <v>1876</v>
      </c>
    </row>
    <row r="583" spans="1:4">
      <c r="A583" t="s">
        <v>1877</v>
      </c>
      <c r="B583" t="s">
        <v>1878</v>
      </c>
      <c r="C583" t="s">
        <v>1879</v>
      </c>
      <c r="D583" s="4" t="str">
        <f>RIGHT(LEFT(A583,3),2)</f>
        <v>42</v>
      </c>
    </row>
    <row r="584" spans="1:5">
      <c r="A584" t="s">
        <v>1880</v>
      </c>
      <c r="B584" t="s">
        <v>1881</v>
      </c>
      <c r="C584" t="s">
        <v>1882</v>
      </c>
      <c r="D584" s="2" t="n">
        <v>421000</v>
      </c>
      <c r="E584" t="str">
        <f aca="1">INDEX('[1]Data Export (2)'!$A:$K,MATCH(A584,'[1]Data Export (2)'!$B:$B,0),11)</f>
        <v>Autres créances</v>
      </c>
    </row>
    <row r="585" spans="1:5">
      <c r="A585" t="s">
        <v>1883</v>
      </c>
      <c r="B585" t="s">
        <v>1884</v>
      </c>
      <c r="C585" t="s">
        <v>1885</v>
      </c>
      <c r="D585" s="2" t="n">
        <v>421100</v>
      </c>
      <c r="E585" t="str">
        <f aca="1">INDEX('[1]Data Export (2)'!$A:$K,MATCH(A585,'[1]Data Export (2)'!$B:$B,0),11)</f>
        <v>Autres créances</v>
      </c>
    </row>
    <row r="586" spans="1:5">
      <c r="A586" t="s">
        <v>1886</v>
      </c>
      <c r="B586" t="s">
        <v>1887</v>
      </c>
      <c r="C586" t="s">
        <v>1888</v>
      </c>
      <c r="D586" s="2" t="n">
        <v>421200</v>
      </c>
      <c r="E586" t="str">
        <f aca="1">INDEX('[1]Data Export (2)'!$A:$K,MATCH(A586,'[1]Data Export (2)'!$B:$B,0),11)</f>
        <v>Autres créances</v>
      </c>
    </row>
    <row r="587" spans="1:5">
      <c r="A587" t="s">
        <v>1889</v>
      </c>
      <c r="B587" t="s">
        <v>1890</v>
      </c>
      <c r="C587" t="s">
        <v>1891</v>
      </c>
      <c r="D587" s="2" t="n">
        <v>421300</v>
      </c>
      <c r="E587" t="str">
        <f aca="1">INDEX('[1]Data Export (2)'!$A:$K,MATCH(A587,'[1]Data Export (2)'!$B:$B,0),11)</f>
        <v>Autres créances</v>
      </c>
    </row>
    <row r="588" spans="1:4">
      <c r="A588" t="s">
        <v>1892</v>
      </c>
      <c r="B588" t="s">
        <v>1893</v>
      </c>
      <c r="C588" t="s">
        <v>1894</v>
      </c>
      <c r="D588" s="4" t="str">
        <f>RIGHT(LEFT(A588,3),2)</f>
        <v>43</v>
      </c>
    </row>
    <row r="589" spans="1:4">
      <c r="A589" t="s">
        <v>1895</v>
      </c>
      <c r="B589" t="s">
        <v>1896</v>
      </c>
      <c r="C589" t="s">
        <v>1897</v>
      </c>
      <c r="D589" s="4" t="n">
        <v>431</v>
      </c>
    </row>
    <row r="590" spans="1:5">
      <c r="A590" t="s">
        <v>1898</v>
      </c>
      <c r="B590" t="s">
        <v>1899</v>
      </c>
      <c r="C590" t="s">
        <v>1900</v>
      </c>
      <c r="D590" s="2" t="n">
        <v>431100</v>
      </c>
      <c r="E590" t="str">
        <f aca="1">INDEX('[1]Data Export (2)'!$A:$K,MATCH(A590,'[1]Data Export (2)'!$B:$B,0),11)</f>
        <v>Autres créances</v>
      </c>
    </row>
    <row r="591" spans="1:5">
      <c r="A591" t="s">
        <v>1901</v>
      </c>
      <c r="B591" t="s">
        <v>1902</v>
      </c>
      <c r="C591" t="s">
        <v>1903</v>
      </c>
      <c r="D591" s="2" t="n">
        <v>431200</v>
      </c>
      <c r="E591" t="str">
        <f aca="1">INDEX('[1]Data Export (2)'!$A:$K,MATCH(A591,'[1]Data Export (2)'!$B:$B,0),11)</f>
        <v>Autres créances</v>
      </c>
    </row>
    <row r="592" spans="1:5">
      <c r="A592" t="s">
        <v>1904</v>
      </c>
      <c r="B592" t="s">
        <v>1905</v>
      </c>
      <c r="C592" t="s">
        <v>1906</v>
      </c>
      <c r="D592" s="2" t="n">
        <v>431300</v>
      </c>
      <c r="E592" t="str">
        <f aca="1">INDEX('[1]Data Export (2)'!$A:$K,MATCH(A592,'[1]Data Export (2)'!$B:$B,0),11)</f>
        <v>Autres créances</v>
      </c>
    </row>
    <row r="593" spans="1:5">
      <c r="A593" t="s">
        <v>1907</v>
      </c>
      <c r="B593" t="s">
        <v>1908</v>
      </c>
      <c r="C593" t="s">
        <v>1909</v>
      </c>
      <c r="D593" s="2" t="n">
        <v>431400</v>
      </c>
      <c r="E593" t="str">
        <f aca="1">INDEX('[1]Data Export (2)'!$A:$K,MATCH(A593,'[1]Data Export (2)'!$B:$B,0),11)</f>
        <v>Autres créances</v>
      </c>
    </row>
    <row r="594" spans="1:5">
      <c r="A594" t="s">
        <v>1910</v>
      </c>
      <c r="B594" t="s">
        <v>1911</v>
      </c>
      <c r="C594" t="s">
        <v>1912</v>
      </c>
      <c r="D594" s="2" t="n">
        <v>431800</v>
      </c>
      <c r="E594" t="str">
        <f aca="1">INDEX('[1]Data Export (2)'!$A:$K,MATCH(A594,'[1]Data Export (2)'!$B:$B,0),11)</f>
        <v>Autres créances</v>
      </c>
    </row>
    <row r="595" spans="1:4">
      <c r="A595" t="s">
        <v>1913</v>
      </c>
      <c r="B595" t="s">
        <v>1914</v>
      </c>
      <c r="C595" t="s">
        <v>1915</v>
      </c>
      <c r="D595" s="4" t="n">
        <v>432</v>
      </c>
    </row>
    <row r="596" spans="1:4">
      <c r="A596" t="s">
        <v>1916</v>
      </c>
      <c r="B596" t="s">
        <v>1917</v>
      </c>
      <c r="C596" t="s">
        <v>1918</v>
      </c>
      <c r="D596" s="4" t="n">
        <v>433</v>
      </c>
    </row>
    <row r="597" spans="1:5">
      <c r="A597" t="s">
        <v>1919</v>
      </c>
      <c r="B597" t="s">
        <v>1920</v>
      </c>
      <c r="C597" t="s">
        <v>1921</v>
      </c>
      <c r="D597" s="2" t="n">
        <v>433100</v>
      </c>
      <c r="E597" t="str">
        <f aca="1">INDEX('[1]Data Export (2)'!$A:$K,MATCH(A597,'[1]Data Export (2)'!$B:$B,0),11)</f>
        <v>Autres créances</v>
      </c>
    </row>
    <row r="598" spans="1:5">
      <c r="A598" t="s">
        <v>1922</v>
      </c>
      <c r="B598" t="s">
        <v>1923</v>
      </c>
      <c r="C598" t="s">
        <v>1924</v>
      </c>
      <c r="D598" s="2" t="n">
        <v>433200</v>
      </c>
      <c r="E598" t="str">
        <f aca="1">INDEX('[1]Data Export (2)'!$A:$K,MATCH(A598,'[1]Data Export (2)'!$B:$B,0),11)</f>
        <v>Autres créances</v>
      </c>
    </row>
    <row r="599" spans="1:5">
      <c r="A599" t="s">
        <v>1925</v>
      </c>
      <c r="B599" t="s">
        <v>1926</v>
      </c>
      <c r="C599" t="s">
        <v>1927</v>
      </c>
      <c r="D599" s="2" t="n">
        <v>433300</v>
      </c>
      <c r="E599" t="str">
        <f aca="1">INDEX('[1]Data Export (2)'!$A:$K,MATCH(A599,'[1]Data Export (2)'!$B:$B,0),11)</f>
        <v>Autres créances</v>
      </c>
    </row>
    <row r="600" spans="1:4">
      <c r="A600" t="s">
        <v>1928</v>
      </c>
      <c r="B600" t="s">
        <v>1929</v>
      </c>
      <c r="C600" t="s">
        <v>1930</v>
      </c>
      <c r="D600" s="4" t="n">
        <v>438</v>
      </c>
    </row>
    <row r="601" spans="1:5">
      <c r="A601" t="s">
        <v>1931</v>
      </c>
      <c r="B601" t="s">
        <v>1932</v>
      </c>
      <c r="C601" t="s">
        <v>1933</v>
      </c>
      <c r="D601" s="2" t="n">
        <v>438700</v>
      </c>
      <c r="E601" t="str">
        <f aca="1">INDEX('[1]Data Export (2)'!$A:$K,MATCH(A601,'[1]Data Export (2)'!$B:$B,0),11)</f>
        <v>Autres créances</v>
      </c>
    </row>
    <row r="602" spans="1:4">
      <c r="A602" t="s">
        <v>1934</v>
      </c>
      <c r="B602" t="s">
        <v>1935</v>
      </c>
      <c r="C602" t="s">
        <v>1936</v>
      </c>
      <c r="D602" s="4" t="str">
        <f>RIGHT(LEFT(A602,3),2)</f>
        <v>44</v>
      </c>
    </row>
    <row r="603" spans="1:5">
      <c r="A603" t="s">
        <v>1937</v>
      </c>
      <c r="B603" t="s">
        <v>1938</v>
      </c>
      <c r="C603" t="s">
        <v>1939</v>
      </c>
      <c r="D603" s="2" t="n">
        <v>443000</v>
      </c>
      <c r="E603" t="str">
        <f aca="1">INDEX('[1]Data Export (2)'!$A:$K,MATCH(A603,'[1]Data Export (2)'!$B:$B,0),11)</f>
        <v>Autres créances</v>
      </c>
    </row>
    <row r="604" spans="1:5">
      <c r="A604" t="s">
        <v>1940</v>
      </c>
      <c r="B604" t="s">
        <v>1941</v>
      </c>
      <c r="C604" t="s">
        <v>1942</v>
      </c>
      <c r="D604" s="2" t="n">
        <v>443100</v>
      </c>
      <c r="E604" t="str">
        <f aca="1">INDEX('[1]Data Export (2)'!$A:$K,MATCH(A604,'[1]Data Export (2)'!$B:$B,0),11)</f>
        <v>Autres créances</v>
      </c>
    </row>
    <row r="605" spans="1:5">
      <c r="A605" t="s">
        <v>1943</v>
      </c>
      <c r="B605" t="s">
        <v>1944</v>
      </c>
      <c r="C605" t="s">
        <v>1945</v>
      </c>
      <c r="D605" s="2" t="n">
        <v>443200</v>
      </c>
      <c r="E605" t="str">
        <f aca="1">INDEX('[1]Data Export (2)'!$A:$K,MATCH(A605,'[1]Data Export (2)'!$B:$B,0),11)</f>
        <v>Autres créances</v>
      </c>
    </row>
    <row r="606" spans="1:5">
      <c r="A606" t="s">
        <v>1946</v>
      </c>
      <c r="B606" t="s">
        <v>1947</v>
      </c>
      <c r="C606" t="s">
        <v>1948</v>
      </c>
      <c r="D606" s="2" t="n">
        <v>443300</v>
      </c>
      <c r="E606" t="str">
        <f aca="1">INDEX('[1]Data Export (2)'!$A:$K,MATCH(A606,'[1]Data Export (2)'!$B:$B,0),11)</f>
        <v>Autres créances</v>
      </c>
    </row>
    <row r="607" spans="1:5">
      <c r="A607" t="s">
        <v>1949</v>
      </c>
      <c r="B607" t="s">
        <v>1950</v>
      </c>
      <c r="C607" t="s">
        <v>1951</v>
      </c>
      <c r="D607" s="2" t="n">
        <v>443400</v>
      </c>
      <c r="E607" t="str">
        <f aca="1">INDEX('[1]Data Export (2)'!$A:$K,MATCH(D607,'[1]Data Export (2)'!$F:$F,0),11)</f>
        <v>Autres créances</v>
      </c>
    </row>
    <row r="608" spans="1:5">
      <c r="A608" t="s">
        <v>1952</v>
      </c>
      <c r="B608" t="s">
        <v>1953</v>
      </c>
      <c r="C608" t="s">
        <v>1954</v>
      </c>
      <c r="D608" s="2" t="n">
        <v>443500</v>
      </c>
      <c r="E608" t="str">
        <f aca="1">INDEX('[1]Data Export (2)'!$A:$K,MATCH(A608,'[1]Data Export (2)'!$B:$B,0),11)</f>
        <v>Autres créances</v>
      </c>
    </row>
    <row r="609" spans="1:5">
      <c r="A609" t="s">
        <v>1955</v>
      </c>
      <c r="B609" t="s">
        <v>1956</v>
      </c>
      <c r="C609" t="s">
        <v>1957</v>
      </c>
      <c r="D609" s="2" t="n">
        <v>445000</v>
      </c>
      <c r="E609" t="str">
        <f aca="1">INDEX('[1]Data Export (2)'!$A:$K,MATCH(A609,'[1]Data Export (2)'!$B:$B,0),11)</f>
        <v>Autres créances</v>
      </c>
    </row>
    <row r="610" spans="1:5">
      <c r="A610" t="s">
        <v>1958</v>
      </c>
      <c r="B610" t="s">
        <v>1959</v>
      </c>
      <c r="C610" t="s">
        <v>1960</v>
      </c>
      <c r="D610" s="2" t="n">
        <v>445100</v>
      </c>
      <c r="E610" t="str">
        <f aca="1">INDEX('[1]Data Export (2)'!$A:$K,MATCH(A610,'[1]Data Export (2)'!$B:$B,0),11)</f>
        <v>Autres créances</v>
      </c>
    </row>
    <row r="611" spans="1:5">
      <c r="A611" t="s">
        <v>1961</v>
      </c>
      <c r="B611" t="s">
        <v>1962</v>
      </c>
      <c r="C611" t="s">
        <v>1963</v>
      </c>
      <c r="D611" s="2" t="n">
        <v>445200</v>
      </c>
      <c r="E611" t="str">
        <f aca="1">INDEX('[1]Data Export (2)'!$A:$K,MATCH(A611,'[1]Data Export (2)'!$B:$B,0),11)</f>
        <v>Autres créances</v>
      </c>
    </row>
    <row r="612" spans="1:5">
      <c r="A612" t="s">
        <v>1964</v>
      </c>
      <c r="B612" t="s">
        <v>1965</v>
      </c>
      <c r="C612" t="s">
        <v>1966</v>
      </c>
      <c r="D612" s="2" t="n">
        <v>445300</v>
      </c>
      <c r="E612" t="str">
        <f aca="1">INDEX('[1]Data Export (2)'!$A:$K,MATCH(A612,'[1]Data Export (2)'!$B:$B,0),11)</f>
        <v>Autres créances</v>
      </c>
    </row>
    <row r="613" spans="1:5">
      <c r="A613" t="s">
        <v>1967</v>
      </c>
      <c r="B613" t="s">
        <v>1968</v>
      </c>
      <c r="C613" t="s">
        <v>1969</v>
      </c>
      <c r="D613" s="2" t="n">
        <v>445400</v>
      </c>
      <c r="E613" t="str">
        <f aca="1">INDEX('[1]Data Export (2)'!$A:$K,MATCH(A613,'[1]Data Export (2)'!$B:$B,0),11)</f>
        <v>Autres créances</v>
      </c>
    </row>
    <row r="614" spans="1:5">
      <c r="A614" t="s">
        <v>1970</v>
      </c>
      <c r="B614" t="s">
        <v>1971</v>
      </c>
      <c r="C614" t="s">
        <v>1972</v>
      </c>
      <c r="D614" s="2" t="n">
        <v>445500</v>
      </c>
      <c r="E614" t="str">
        <f aca="1">INDEX('[1]Data Export (2)'!$A:$K,MATCH(A614,'[1]Data Export (2)'!$B:$B,0),11)</f>
        <v>Autres créances</v>
      </c>
    </row>
    <row r="615" spans="1:5">
      <c r="A615" t="s">
        <v>1973</v>
      </c>
      <c r="B615" t="s">
        <v>1974</v>
      </c>
      <c r="C615" t="s">
        <v>1975</v>
      </c>
      <c r="D615" s="2" t="n">
        <v>445600</v>
      </c>
      <c r="E615" t="str">
        <f aca="1">INDEX('[1]Data Export (2)'!$A:$K,MATCH(A615,'[1]Data Export (2)'!$B:$B,0),11)</f>
        <v>Autres créances</v>
      </c>
    </row>
    <row r="616" spans="1:5">
      <c r="A616" t="s">
        <v>1976</v>
      </c>
      <c r="B616" t="s">
        <v>1977</v>
      </c>
      <c r="C616" t="s">
        <v>1978</v>
      </c>
      <c r="D616" s="2" t="n">
        <v>448000</v>
      </c>
      <c r="E616" t="str">
        <f aca="1">INDEX('[1]Data Export (2)'!$A:$K,MATCH(A616,'[1]Data Export (2)'!$B:$B,0),11)</f>
        <v>Autres créances</v>
      </c>
    </row>
    <row r="617" spans="1:5">
      <c r="A617" t="s">
        <v>1979</v>
      </c>
      <c r="B617" t="s">
        <v>1980</v>
      </c>
      <c r="C617" t="s">
        <v>1981</v>
      </c>
      <c r="D617" s="2" t="n">
        <v>448600</v>
      </c>
      <c r="E617" t="str">
        <f aca="1">INDEX('[1]Data Export (2)'!$A:$K,MATCH(A617,'[1]Data Export (2)'!$B:$B,0),11)</f>
        <v>Autres créances</v>
      </c>
    </row>
    <row r="618" spans="1:5">
      <c r="A618" t="s">
        <v>1982</v>
      </c>
      <c r="B618" t="s">
        <v>1983</v>
      </c>
      <c r="C618" t="s">
        <v>1984</v>
      </c>
      <c r="D618" s="2" t="n">
        <v>448700</v>
      </c>
      <c r="E618" t="str">
        <f aca="1">INDEX('[1]Data Export (2)'!$A:$K,MATCH(A618,'[1]Data Export (2)'!$B:$B,0),11)</f>
        <v>Autres créances</v>
      </c>
    </row>
    <row r="619" spans="1:5">
      <c r="A619" t="s">
        <v>1985</v>
      </c>
      <c r="B619" t="s">
        <v>1986</v>
      </c>
      <c r="C619" t="s">
        <v>1987</v>
      </c>
      <c r="D619" s="2" t="n">
        <v>449000</v>
      </c>
      <c r="E619" t="str">
        <f aca="1">INDEX('[1]Data Export (2)'!$A:$K,MATCH(A619,'[1]Data Export (2)'!$B:$B,0),11)</f>
        <v>Autres créances</v>
      </c>
    </row>
    <row r="620" spans="1:5">
      <c r="A620" t="s">
        <v>1988</v>
      </c>
      <c r="B620" t="s">
        <v>1989</v>
      </c>
      <c r="C620" t="s">
        <v>1990</v>
      </c>
      <c r="D620" s="2" t="n">
        <v>449100</v>
      </c>
      <c r="E620" t="str">
        <f aca="1">INDEX('[1]Data Export (2)'!$A:$K,MATCH(A620,'[1]Data Export (2)'!$B:$B,0),11)</f>
        <v>Autres créances</v>
      </c>
    </row>
    <row r="621" spans="1:5">
      <c r="A621" t="s">
        <v>1991</v>
      </c>
      <c r="B621" t="s">
        <v>1992</v>
      </c>
      <c r="C621" t="s">
        <v>1993</v>
      </c>
      <c r="D621" s="2" t="n">
        <v>449200</v>
      </c>
      <c r="E621" t="str">
        <f aca="1">INDEX('[1]Data Export (2)'!$A:$K,MATCH(A621,'[1]Data Export (2)'!$B:$B,0),11)</f>
        <v>Autres créances</v>
      </c>
    </row>
    <row r="622" spans="1:5">
      <c r="A622" t="s">
        <v>1994</v>
      </c>
      <c r="B622" t="s">
        <v>1995</v>
      </c>
      <c r="C622" t="s">
        <v>1996</v>
      </c>
      <c r="D622" s="2" t="n">
        <v>449300</v>
      </c>
      <c r="E622" t="str">
        <f aca="1">INDEX('[1]Data Export (2)'!$A:$K,MATCH(A622,'[1]Data Export (2)'!$B:$B,0),11)</f>
        <v>Autres créances</v>
      </c>
    </row>
    <row r="623" spans="1:5">
      <c r="A623" t="s">
        <v>1997</v>
      </c>
      <c r="B623" t="s">
        <v>1998</v>
      </c>
      <c r="C623" t="s">
        <v>1999</v>
      </c>
      <c r="D623" s="2" t="n">
        <v>449400</v>
      </c>
      <c r="E623" t="str">
        <f aca="1">INDEX('[1]Data Export (2)'!$A:$K,MATCH(A623,'[1]Data Export (2)'!$B:$B,0),11)</f>
        <v>Autres créances</v>
      </c>
    </row>
    <row r="624" spans="1:5">
      <c r="A624" t="s">
        <v>2000</v>
      </c>
      <c r="B624" t="s">
        <v>2001</v>
      </c>
      <c r="C624" t="s">
        <v>2002</v>
      </c>
      <c r="D624" s="2" t="n">
        <v>449500</v>
      </c>
      <c r="E624" t="str">
        <f aca="1">INDEX('[1]Data Export (2)'!$A:$K,MATCH(A624,'[1]Data Export (2)'!$B:$B,0),11)</f>
        <v>Autres créances</v>
      </c>
    </row>
    <row r="625" spans="1:5">
      <c r="A625" t="s">
        <v>2003</v>
      </c>
      <c r="B625" t="s">
        <v>2004</v>
      </c>
      <c r="C625" t="s">
        <v>2005</v>
      </c>
      <c r="D625" s="2" t="n">
        <v>449600</v>
      </c>
      <c r="E625" t="str">
        <f aca="1">INDEX('[1]Data Export (2)'!$A:$K,MATCH(A625,'[1]Data Export (2)'!$B:$B,0),11)</f>
        <v>Autres créances</v>
      </c>
    </row>
    <row r="626" spans="1:5">
      <c r="A626" t="s">
        <v>2006</v>
      </c>
      <c r="B626" t="s">
        <v>2007</v>
      </c>
      <c r="C626" t="s">
        <v>2008</v>
      </c>
      <c r="D626" s="2" t="n">
        <v>449700</v>
      </c>
      <c r="E626" t="str">
        <f aca="1">INDEX('[1]Data Export (2)'!$A:$K,MATCH(A626,'[1]Data Export (2)'!$B:$B,0),11)</f>
        <v>Autres créances</v>
      </c>
    </row>
    <row r="627" spans="1:5">
      <c r="A627" t="s">
        <v>2009</v>
      </c>
      <c r="B627" t="s">
        <v>2010</v>
      </c>
      <c r="C627" t="s">
        <v>2011</v>
      </c>
      <c r="D627" s="2" t="n">
        <v>449900</v>
      </c>
      <c r="E627" t="str">
        <f aca="1">INDEX('[1]Data Export (2)'!$A:$K,MATCH(A627,'[1]Data Export (2)'!$B:$B,0),11)</f>
        <v>Autres créances</v>
      </c>
    </row>
    <row r="628" spans="1:4">
      <c r="A628" t="s">
        <v>2012</v>
      </c>
      <c r="B628" t="s">
        <v>2013</v>
      </c>
      <c r="C628" t="s">
        <v>2014</v>
      </c>
      <c r="D628" s="4" t="str">
        <f>RIGHT(LEFT(A628,3),2)</f>
        <v>45</v>
      </c>
    </row>
    <row r="629" spans="1:5">
      <c r="A629" t="s">
        <v>2015</v>
      </c>
      <c r="B629" t="s">
        <v>2016</v>
      </c>
      <c r="C629" t="s">
        <v>2017</v>
      </c>
      <c r="D629" s="2" t="n">
        <v>451000</v>
      </c>
      <c r="E629" t="str">
        <f aca="1">INDEX('[1]Data Export (2)'!$A:$K,MATCH(A629,'[1]Data Export (2)'!$B:$B,0),11)</f>
        <v>Autres créances</v>
      </c>
    </row>
    <row r="630" spans="1:5">
      <c r="A630" t="s">
        <v>2018</v>
      </c>
      <c r="B630" t="s">
        <v>2019</v>
      </c>
      <c r="C630" t="s">
        <v>2020</v>
      </c>
      <c r="D630" s="2" t="n">
        <v>452000</v>
      </c>
      <c r="E630" t="str">
        <f aca="1">INDEX('[1]Data Export (2)'!$A:$K,MATCH(A630,'[1]Data Export (2)'!$B:$B,0),11)</f>
        <v>Autres créances</v>
      </c>
    </row>
    <row r="631" spans="1:5">
      <c r="A631" t="s">
        <v>2021</v>
      </c>
      <c r="B631" t="s">
        <v>2022</v>
      </c>
      <c r="C631" t="s">
        <v>2023</v>
      </c>
      <c r="D631" s="2" t="n">
        <v>458000</v>
      </c>
      <c r="E631" t="str">
        <f aca="1">INDEX('[1]Data Export (2)'!$A:$K,MATCH(A631,'[1]Data Export (2)'!$B:$B,0),11)</f>
        <v>Autres créances</v>
      </c>
    </row>
    <row r="632" spans="1:5">
      <c r="A632" t="s">
        <v>2024</v>
      </c>
      <c r="B632" t="s">
        <v>2025</v>
      </c>
      <c r="C632" t="s">
        <v>2026</v>
      </c>
      <c r="D632" s="2" t="n">
        <v>458100</v>
      </c>
      <c r="E632" t="str">
        <f aca="1">INDEX('[1]Data Export (2)'!$A:$K,MATCH(A632,'[1]Data Export (2)'!$B:$B,0),11)</f>
        <v>Autres créances</v>
      </c>
    </row>
    <row r="633" spans="1:5">
      <c r="A633" t="s">
        <v>2027</v>
      </c>
      <c r="B633" t="s">
        <v>2028</v>
      </c>
      <c r="C633" t="s">
        <v>2029</v>
      </c>
      <c r="D633" s="2" t="n">
        <v>458200</v>
      </c>
      <c r="E633" t="str">
        <f aca="1">INDEX('[1]Data Export (2)'!$A:$K,MATCH(A633,'[1]Data Export (2)'!$B:$B,0),11)</f>
        <v>Autres créances</v>
      </c>
    </row>
    <row r="634" spans="1:4">
      <c r="A634" t="s">
        <v>2030</v>
      </c>
      <c r="B634" t="s">
        <v>2031</v>
      </c>
      <c r="C634" t="s">
        <v>2032</v>
      </c>
      <c r="D634" s="4" t="str">
        <f>RIGHT(LEFT(A634,3),2)</f>
        <v>46</v>
      </c>
    </row>
    <row r="635" spans="1:4">
      <c r="A635" t="s">
        <v>2033</v>
      </c>
      <c r="B635" t="s">
        <v>2034</v>
      </c>
      <c r="C635" t="s">
        <v>2035</v>
      </c>
      <c r="D635" s="4" t="n">
        <v>461</v>
      </c>
    </row>
    <row r="636" spans="1:5">
      <c r="A636" t="s">
        <v>2036</v>
      </c>
      <c r="B636" t="s">
        <v>2037</v>
      </c>
      <c r="C636" t="s">
        <v>2038</v>
      </c>
      <c r="D636" s="2" t="n">
        <v>461300</v>
      </c>
      <c r="E636" t="str">
        <f aca="1">INDEX('[1]Data Export (2)'!$A:$K,MATCH(A636,'[1]Data Export (2)'!$B:$B,0),11)</f>
        <v>Autres créances</v>
      </c>
    </row>
    <row r="637" spans="1:5">
      <c r="A637" t="s">
        <v>2039</v>
      </c>
      <c r="B637" t="s">
        <v>2040</v>
      </c>
      <c r="C637" t="s">
        <v>2041</v>
      </c>
      <c r="D637" s="2" t="n">
        <v>461400</v>
      </c>
      <c r="E637" t="str">
        <f aca="1">INDEX('[1]Data Export (2)'!$A:$K,MATCH(A637,'[1]Data Export (2)'!$B:$B,0),11)</f>
        <v>Autres créances</v>
      </c>
    </row>
    <row r="638" spans="1:5">
      <c r="A638" t="s">
        <v>2042</v>
      </c>
      <c r="B638" t="s">
        <v>2043</v>
      </c>
      <c r="C638" t="s">
        <v>2044</v>
      </c>
      <c r="D638" s="2" t="n">
        <v>461800</v>
      </c>
      <c r="E638" t="str">
        <f aca="1">INDEX('[1]Data Export (2)'!$A:$K,MATCH(A638,'[1]Data Export (2)'!$B:$B,0),11)</f>
        <v>Autres créances</v>
      </c>
    </row>
    <row r="639" spans="1:5">
      <c r="A639" t="s">
        <v>2045</v>
      </c>
      <c r="B639" t="s">
        <v>2046</v>
      </c>
      <c r="C639" t="s">
        <v>2047</v>
      </c>
      <c r="D639" s="2" t="n">
        <v>467000</v>
      </c>
      <c r="E639" t="str">
        <f aca="1">INDEX('[1]Data Export (2)'!$A:$K,MATCH(A639,'[1]Data Export (2)'!$B:$B,0),11)</f>
        <v>Autres créances</v>
      </c>
    </row>
    <row r="640" spans="1:4">
      <c r="A640" t="s">
        <v>2048</v>
      </c>
      <c r="B640" t="s">
        <v>2049</v>
      </c>
      <c r="C640" t="s">
        <v>2050</v>
      </c>
      <c r="D640" s="4" t="str">
        <f>RIGHT(LEFT(A640,3),2)</f>
        <v>47</v>
      </c>
    </row>
    <row r="641" spans="1:4">
      <c r="A641" t="s">
        <v>2051</v>
      </c>
      <c r="B641" t="s">
        <v>2052</v>
      </c>
      <c r="C641" t="s">
        <v>2053</v>
      </c>
      <c r="D641" s="4" t="n">
        <v>472</v>
      </c>
    </row>
    <row r="642" spans="1:5">
      <c r="A642" t="s">
        <v>2054</v>
      </c>
      <c r="B642" t="s">
        <v>2055</v>
      </c>
      <c r="C642" t="s">
        <v>2056</v>
      </c>
      <c r="D642" s="2" t="n">
        <v>472100</v>
      </c>
      <c r="E642" t="str">
        <f aca="1">INDEX('[1]Data Export (2)'!$A:$K,MATCH(A642,'[1]Data Export (2)'!$B:$B,0),11)</f>
        <v>Autres créances</v>
      </c>
    </row>
    <row r="643" spans="1:5">
      <c r="A643" t="s">
        <v>2057</v>
      </c>
      <c r="B643" t="s">
        <v>2058</v>
      </c>
      <c r="C643" t="s">
        <v>2059</v>
      </c>
      <c r="D643" s="2" t="n">
        <v>472600</v>
      </c>
      <c r="E643" t="str">
        <f aca="1">INDEX('[1]Data Export (2)'!$A:$K,MATCH(A643,'[1]Data Export (2)'!$B:$B,0),11)</f>
        <v>Autres créances</v>
      </c>
    </row>
    <row r="644" spans="1:4">
      <c r="A644" t="s">
        <v>2060</v>
      </c>
      <c r="B644" t="s">
        <v>2061</v>
      </c>
      <c r="C644" t="s">
        <v>2062</v>
      </c>
      <c r="D644" s="4" t="n">
        <v>473</v>
      </c>
    </row>
    <row r="645" spans="1:5">
      <c r="A645" t="s">
        <v>2063</v>
      </c>
      <c r="B645" t="s">
        <v>2064</v>
      </c>
      <c r="C645" t="s">
        <v>2065</v>
      </c>
      <c r="D645" s="2" t="n">
        <v>473100</v>
      </c>
      <c r="E645" t="str">
        <f aca="1">INDEX('[1]Data Export (2)'!$A:$K,MATCH(A645,'[1]Data Export (2)'!$B:$B,0),11)</f>
        <v>Autres créances</v>
      </c>
    </row>
    <row r="646" spans="1:5">
      <c r="A646" t="s">
        <v>2066</v>
      </c>
      <c r="B646" t="s">
        <v>2067</v>
      </c>
      <c r="C646" t="s">
        <v>2068</v>
      </c>
      <c r="D646" s="2" t="n">
        <v>473200</v>
      </c>
      <c r="E646" t="str">
        <f aca="1">INDEX('[1]Data Export (2)'!$A:$K,MATCH(A646,'[1]Data Export (2)'!$B:$B,0),11)</f>
        <v>Autres créances</v>
      </c>
    </row>
    <row r="647" spans="1:5">
      <c r="A647" t="s">
        <v>2069</v>
      </c>
      <c r="B647" t="s">
        <v>2070</v>
      </c>
      <c r="C647" t="s">
        <v>2071</v>
      </c>
      <c r="D647" s="2" t="n">
        <v>473300</v>
      </c>
      <c r="E647" t="str">
        <f aca="1">INDEX('[1]Data Export (2)'!$A:$K,MATCH(A647,'[1]Data Export (2)'!$B:$B,0),11)</f>
        <v>Autres créances</v>
      </c>
    </row>
    <row r="648" spans="1:5">
      <c r="A648" t="s">
        <v>2072</v>
      </c>
      <c r="B648" t="s">
        <v>2073</v>
      </c>
      <c r="C648" t="s">
        <v>2074</v>
      </c>
      <c r="D648" s="2" t="n">
        <v>473400</v>
      </c>
      <c r="E648" t="str">
        <f aca="1">INDEX('[1]Data Export (2)'!$A:$K,MATCH(A648,'[1]Data Export (2)'!$B:$B,0),11)</f>
        <v>Autres créances</v>
      </c>
    </row>
    <row r="649" spans="1:5">
      <c r="A649" t="s">
        <v>2075</v>
      </c>
      <c r="B649" t="s">
        <v>2076</v>
      </c>
      <c r="C649" t="s">
        <v>2077</v>
      </c>
      <c r="D649" s="2" t="n">
        <v>473900</v>
      </c>
      <c r="E649" t="str">
        <f aca="1">INDEX('[1]Data Export (2)'!$A:$K,MATCH(A649,'[1]Data Export (2)'!$B:$B,0),11)</f>
        <v>Autres créances</v>
      </c>
    </row>
    <row r="650" spans="1:4">
      <c r="A650" t="s">
        <v>2078</v>
      </c>
      <c r="B650" t="s">
        <v>2079</v>
      </c>
      <c r="C650" t="s">
        <v>2080</v>
      </c>
      <c r="D650" s="4" t="n">
        <v>474</v>
      </c>
    </row>
    <row r="651" spans="1:5">
      <c r="A651" t="s">
        <v>2081</v>
      </c>
      <c r="B651" t="s">
        <v>2082</v>
      </c>
      <c r="C651" t="s">
        <v>2083</v>
      </c>
      <c r="D651" s="2" t="n">
        <v>474700</v>
      </c>
      <c r="E651" t="str">
        <f aca="1">INDEX('[1]Data Export (2)'!$A:$K,MATCH(A651,'[1]Data Export (2)'!$B:$B,0),11)</f>
        <v>Autres créances</v>
      </c>
    </row>
    <row r="652" spans="1:4">
      <c r="A652" t="s">
        <v>2084</v>
      </c>
      <c r="B652" t="s">
        <v>2085</v>
      </c>
      <c r="C652" t="s">
        <v>2086</v>
      </c>
      <c r="D652" s="4" t="n">
        <v>475</v>
      </c>
    </row>
    <row r="653" spans="1:6">
      <c r="A653" t="s">
        <v>2087</v>
      </c>
      <c r="B653" t="s">
        <v>2088</v>
      </c>
      <c r="C653" t="s">
        <v>2089</v>
      </c>
      <c r="D653" s="2" t="n">
        <v>475100</v>
      </c>
      <c r="E653" t="str">
        <f aca="1">INDEX('[1]Data Export (2)'!$A:$K,MATCH(A653,'[1]Data Export (2)'!$B:$B,0),11)</f>
        <v>Autres créances</v>
      </c>
      <c r="F653" t="s">
        <v>2090</v>
      </c>
    </row>
    <row r="654" spans="1:5">
      <c r="A654" t="s">
        <v>2091</v>
      </c>
      <c r="B654" t="s">
        <v>2092</v>
      </c>
      <c r="C654" t="s">
        <v>2093</v>
      </c>
      <c r="D654" s="2" t="n">
        <v>476000</v>
      </c>
      <c r="E654" t="str">
        <f aca="1">INDEX('[1]Data Export (2)'!$A:$K,MATCH(A654,'[1]Data Export (2)'!$B:$B,0),11)</f>
        <v>Autres créances</v>
      </c>
    </row>
    <row r="655" spans="1:4">
      <c r="A655" t="s">
        <v>2094</v>
      </c>
      <c r="B655" t="s">
        <v>2095</v>
      </c>
      <c r="C655" t="s">
        <v>2096</v>
      </c>
      <c r="D655" s="4" t="n">
        <v>478</v>
      </c>
    </row>
    <row r="656" spans="1:5">
      <c r="A656" t="s">
        <v>2097</v>
      </c>
      <c r="B656" t="s">
        <v>2098</v>
      </c>
      <c r="C656" t="s">
        <v>2099</v>
      </c>
      <c r="D656" s="2" t="n">
        <v>478100</v>
      </c>
      <c r="E656" t="str">
        <f aca="1">INDEX('[1]Data Export (2)'!$A:$K,MATCH(A656,'[1]Data Export (2)'!$B:$B,0),11)</f>
        <v>Ecart de conversion - actif  </v>
      </c>
    </row>
    <row r="657" spans="1:5">
      <c r="A657" t="s">
        <v>2100</v>
      </c>
      <c r="B657" t="s">
        <v>2101</v>
      </c>
      <c r="C657" t="s">
        <v>2102</v>
      </c>
      <c r="D657" s="2" t="n">
        <v>478200</v>
      </c>
      <c r="E657" t="str">
        <f aca="1">INDEX('[1]Data Export (2)'!$A:$K,MATCH(A657,'[1]Data Export (2)'!$B:$B,0),11)</f>
        <v>Ecart de conversion - actif  </v>
      </c>
    </row>
    <row r="658" spans="1:5">
      <c r="A658" t="s">
        <v>2103</v>
      </c>
      <c r="B658" t="s">
        <v>2104</v>
      </c>
      <c r="C658" t="s">
        <v>2105</v>
      </c>
      <c r="D658" s="2" t="n">
        <v>478300</v>
      </c>
      <c r="E658" t="str">
        <f aca="1">INDEX('[1]Data Export (2)'!$A:$K,MATCH(A658,'[1]Data Export (2)'!$B:$B,0),11)</f>
        <v>Ecart de conversion - actif  </v>
      </c>
    </row>
    <row r="659" spans="1:5">
      <c r="A659" t="s">
        <v>2106</v>
      </c>
      <c r="B659" t="s">
        <v>2107</v>
      </c>
      <c r="C659" t="s">
        <v>2108</v>
      </c>
      <c r="D659" s="2" t="n">
        <v>478400</v>
      </c>
      <c r="E659" t="str">
        <f aca="1">INDEX('[1]Data Export (2)'!$A:$K,MATCH(A659,'[1]Data Export (2)'!$B:$B,0),11)</f>
        <v>Ecart de conversion - actif  </v>
      </c>
    </row>
    <row r="660" spans="1:5">
      <c r="A660" t="s">
        <v>2109</v>
      </c>
      <c r="B660" t="s">
        <v>2110</v>
      </c>
      <c r="C660" t="s">
        <v>2111</v>
      </c>
      <c r="D660" s="2" t="n">
        <v>478600</v>
      </c>
      <c r="E660" t="str">
        <f aca="1">INDEX('[1]Data Export (2)'!$A:$K,MATCH(A660,'[1]Data Export (2)'!$B:$B,0),11)</f>
        <v>Ecart de conversion - actif  </v>
      </c>
    </row>
    <row r="661" spans="1:5">
      <c r="A661" t="s">
        <v>2112</v>
      </c>
      <c r="B661" t="s">
        <v>2113</v>
      </c>
      <c r="C661" t="s">
        <v>2114</v>
      </c>
      <c r="D661" s="2" t="n">
        <v>478800</v>
      </c>
      <c r="E661" t="str">
        <f aca="1">INDEX('[1]Data Export (2)'!$A:$K,MATCH(A661,'[1]Data Export (2)'!$B:$B,0),11)</f>
        <v>Ecart de conversion - actif  </v>
      </c>
    </row>
    <row r="662" spans="1:4">
      <c r="A662" t="s">
        <v>2115</v>
      </c>
      <c r="B662" t="s">
        <v>2116</v>
      </c>
      <c r="C662" t="s">
        <v>2117</v>
      </c>
      <c r="D662" s="4" t="str">
        <f>RIGHT(LEFT(A662,3),2)</f>
        <v>48</v>
      </c>
    </row>
    <row r="663" spans="1:5">
      <c r="A663" t="s">
        <v>2118</v>
      </c>
      <c r="B663" t="s">
        <v>2119</v>
      </c>
      <c r="C663" t="s">
        <v>2120</v>
      </c>
      <c r="D663" s="2" t="n">
        <v>485000</v>
      </c>
      <c r="E663" t="str">
        <f aca="1">INDEX('[1]Data Export (2)'!$A:$K,MATCH(A663,'[1]Data Export (2)'!$B:$B,0),11)</f>
        <v>Actif circulant H.A.O</v>
      </c>
    </row>
    <row r="664" spans="1:5">
      <c r="A664" t="s">
        <v>2121</v>
      </c>
      <c r="B664" t="s">
        <v>2122</v>
      </c>
      <c r="C664" t="s">
        <v>2123</v>
      </c>
      <c r="D664" s="2" t="n">
        <v>485100</v>
      </c>
      <c r="E664" t="str">
        <f aca="1">INDEX('[1]Data Export (2)'!$A:$K,MATCH(A664,'[1]Data Export (2)'!$B:$B,0),11)</f>
        <v>Actif circulant H.A.O</v>
      </c>
    </row>
    <row r="665" spans="1:5">
      <c r="A665" t="s">
        <v>2124</v>
      </c>
      <c r="B665" t="s">
        <v>2125</v>
      </c>
      <c r="C665" t="s">
        <v>2126</v>
      </c>
      <c r="D665" s="2" t="n">
        <v>485200</v>
      </c>
      <c r="E665" t="str">
        <f aca="1">INDEX('[1]Data Export (2)'!$A:$K,MATCH(A665,'[1]Data Export (2)'!$B:$B,0),11)</f>
        <v>Actif circulant H.A.O</v>
      </c>
    </row>
    <row r="666" spans="1:5">
      <c r="A666" t="s">
        <v>2127</v>
      </c>
      <c r="B666" t="s">
        <v>2128</v>
      </c>
      <c r="C666" t="s">
        <v>2129</v>
      </c>
      <c r="D666" s="2" t="n">
        <v>485300</v>
      </c>
      <c r="E666" t="str">
        <f aca="1">INDEX('[1]Data Export (2)'!$A:$K,MATCH(A666,'[1]Data Export (2)'!$B:$B,0),11)</f>
        <v>Actif circulant H.A.O</v>
      </c>
    </row>
    <row r="667" spans="1:5">
      <c r="A667" t="s">
        <v>2130</v>
      </c>
      <c r="B667" t="s">
        <v>2131</v>
      </c>
      <c r="C667" t="s">
        <v>2132</v>
      </c>
      <c r="D667" s="2" t="n">
        <v>485400</v>
      </c>
      <c r="E667" t="str">
        <f aca="1">INDEX('[1]Data Export (2)'!$A:$K,MATCH(A667,'[1]Data Export (2)'!$B:$B,0),11)</f>
        <v>Actif circulant H.A.O</v>
      </c>
    </row>
    <row r="668" spans="1:5">
      <c r="A668" t="s">
        <v>2133</v>
      </c>
      <c r="B668" t="s">
        <v>2134</v>
      </c>
      <c r="C668" t="s">
        <v>2135</v>
      </c>
      <c r="D668" s="2" t="n">
        <v>485500</v>
      </c>
      <c r="E668" t="str">
        <f aca="1">INDEX('[1]Data Export (2)'!$A:$K,MATCH(A668,'[1]Data Export (2)'!$B:$B,0),11)</f>
        <v>Actif circulant H.A.O</v>
      </c>
    </row>
    <row r="669" spans="1:5">
      <c r="A669" t="s">
        <v>2136</v>
      </c>
      <c r="B669" t="s">
        <v>2137</v>
      </c>
      <c r="C669" t="s">
        <v>2138</v>
      </c>
      <c r="D669" s="2" t="n">
        <v>485700</v>
      </c>
      <c r="E669" t="str">
        <f aca="1">INDEX('[1]Data Export (2)'!$A:$K,MATCH(A669,'[1]Data Export (2)'!$B:$B,0),11)</f>
        <v>Actif circulant H.A.O</v>
      </c>
    </row>
    <row r="670" spans="1:5">
      <c r="A670" t="s">
        <v>2139</v>
      </c>
      <c r="B670" t="s">
        <v>2140</v>
      </c>
      <c r="C670" t="s">
        <v>2141</v>
      </c>
      <c r="D670" s="2" t="n">
        <v>485800</v>
      </c>
      <c r="E670" t="str">
        <f aca="1">INDEX('[1]Data Export (2)'!$A:$K,MATCH(A670,'[1]Data Export (2)'!$B:$B,0),11)</f>
        <v>Actif circulant H.A.O</v>
      </c>
    </row>
    <row r="671" spans="1:5">
      <c r="A671" t="s">
        <v>2142</v>
      </c>
      <c r="B671" t="s">
        <v>2143</v>
      </c>
      <c r="C671" t="s">
        <v>2144</v>
      </c>
      <c r="D671" s="2" t="n">
        <v>488000</v>
      </c>
      <c r="E671" t="str">
        <f aca="1">INDEX('[1]Data Export (2)'!$A:$K,MATCH(A671,'[1]Data Export (2)'!$B:$B,0),11)</f>
        <v>Actif circulant H.A.O</v>
      </c>
    </row>
    <row r="672" spans="1:4">
      <c r="A672" t="s">
        <v>2145</v>
      </c>
      <c r="B672" t="s">
        <v>2146</v>
      </c>
      <c r="C672" t="s">
        <v>2147</v>
      </c>
      <c r="D672" s="4" t="str">
        <f>RIGHT(LEFT(A672,3),2)</f>
        <v>49</v>
      </c>
    </row>
    <row r="673" spans="1:5">
      <c r="A673" t="s">
        <v>2148</v>
      </c>
      <c r="B673" t="s">
        <v>2149</v>
      </c>
      <c r="C673" t="s">
        <v>2150</v>
      </c>
      <c r="D673" s="2" t="n">
        <v>491000</v>
      </c>
      <c r="E673" t="str">
        <f aca="1">INDEX('[1]Data Export (2)'!$A:$K,MATCH(A673,'[1]Data Export (2)'!$B:$B,0),11)</f>
        <v>Dépréciations des clients </v>
      </c>
    </row>
    <row r="674" spans="1:5">
      <c r="A674" t="s">
        <v>2151</v>
      </c>
      <c r="B674" t="s">
        <v>2152</v>
      </c>
      <c r="C674" t="s">
        <v>2153</v>
      </c>
      <c r="D674" s="2" t="n">
        <v>491100</v>
      </c>
      <c r="E674" t="str">
        <f aca="1">INDEX('[1]Data Export (2)'!$A:$K,MATCH(A674,'[1]Data Export (2)'!$B:$B,0),11)</f>
        <v>Dépréciations des clients </v>
      </c>
    </row>
    <row r="675" spans="1:5">
      <c r="A675" t="s">
        <v>2154</v>
      </c>
      <c r="B675" t="s">
        <v>2155</v>
      </c>
      <c r="C675" t="s">
        <v>2156</v>
      </c>
      <c r="D675" s="2" t="n">
        <v>491200</v>
      </c>
      <c r="E675" t="str">
        <f aca="1">INDEX('[1]Data Export (2)'!$A:$K,MATCH(A675,'[1]Data Export (2)'!$B:$B,0),11)</f>
        <v>Dépréciations des clients </v>
      </c>
    </row>
    <row r="676" spans="1:5">
      <c r="A676" t="s">
        <v>2157</v>
      </c>
      <c r="B676" t="s">
        <v>2158</v>
      </c>
      <c r="C676" t="s">
        <v>2159</v>
      </c>
      <c r="D676" s="2" t="n">
        <v>495000</v>
      </c>
      <c r="E676" t="str">
        <f aca="1">INDEX('[1]Data Export (2)'!$A:$K,MATCH(A676,'[1]Data Export (2)'!$B:$B,0),11)</f>
        <v>Dépréciations des autres créances</v>
      </c>
    </row>
    <row r="677" spans="1:5">
      <c r="A677" t="s">
        <v>2160</v>
      </c>
      <c r="B677" t="s">
        <v>2161</v>
      </c>
      <c r="C677" t="s">
        <v>2162</v>
      </c>
      <c r="D677" s="2" t="n">
        <v>496000</v>
      </c>
      <c r="E677" t="str">
        <f aca="1">INDEX('[1]Data Export (2)'!$A:$K,MATCH(A677,'[1]Data Export (2)'!$B:$B,0),11)</f>
        <v>Dépréciations des autres créances</v>
      </c>
    </row>
    <row r="678" spans="1:5">
      <c r="A678" t="s">
        <v>2163</v>
      </c>
      <c r="B678" t="s">
        <v>2164</v>
      </c>
      <c r="C678" t="s">
        <v>2165</v>
      </c>
      <c r="D678" s="2" t="n">
        <v>496200</v>
      </c>
      <c r="E678" t="str">
        <f aca="1">INDEX('[1]Data Export (2)'!$A:$K,MATCH(A678,'[1]Data Export (2)'!$B:$B,0),11)</f>
        <v>Dépréciations des autres créances</v>
      </c>
    </row>
    <row r="679" spans="1:5">
      <c r="A679" t="s">
        <v>2166</v>
      </c>
      <c r="B679" t="s">
        <v>2167</v>
      </c>
      <c r="C679" t="s">
        <v>2168</v>
      </c>
      <c r="D679" s="2" t="n">
        <v>496300</v>
      </c>
      <c r="E679" t="str">
        <f aca="1">INDEX('[1]Data Export (2)'!$A:$K,MATCH(A679,'[1]Data Export (2)'!$B:$B,0),11)</f>
        <v>Dépréciations des autres créances</v>
      </c>
    </row>
    <row r="680" spans="1:5">
      <c r="A680" t="s">
        <v>2169</v>
      </c>
      <c r="B680" t="s">
        <v>2170</v>
      </c>
      <c r="C680" t="s">
        <v>2171</v>
      </c>
      <c r="D680" s="2" t="n">
        <v>496600</v>
      </c>
      <c r="E680" t="str">
        <f aca="1">INDEX('[1]Data Export (2)'!$A:$K,MATCH(A680,'[1]Data Export (2)'!$B:$B,0),11)</f>
        <v>Dépréciations des autres créances</v>
      </c>
    </row>
    <row r="681" spans="1:5">
      <c r="A681" t="s">
        <v>2172</v>
      </c>
      <c r="B681" t="s">
        <v>2173</v>
      </c>
      <c r="C681" t="s">
        <v>2174</v>
      </c>
      <c r="D681" s="2" t="n">
        <v>497000</v>
      </c>
      <c r="E681" t="str">
        <f aca="1">INDEX('[1]Data Export (2)'!$A:$K,MATCH(A681,'[1]Data Export (2)'!$B:$B,0),11)</f>
        <v>Dépréciations des autres créances</v>
      </c>
    </row>
    <row r="682" spans="1:5">
      <c r="A682" t="s">
        <v>2175</v>
      </c>
      <c r="B682" t="s">
        <v>2176</v>
      </c>
      <c r="C682" t="s">
        <v>2177</v>
      </c>
      <c r="D682" s="2" t="n">
        <v>498000</v>
      </c>
      <c r="E682" t="str">
        <f aca="1">INDEX('[1]Data Export (2)'!$A:$K,MATCH(A682,'[1]Data Export (2)'!$B:$B,0),11)</f>
        <v>Dépréciations des créances HAO</v>
      </c>
    </row>
    <row r="683" spans="1:5">
      <c r="A683" t="s">
        <v>2178</v>
      </c>
      <c r="B683" t="s">
        <v>2179</v>
      </c>
      <c r="C683" t="s">
        <v>2180</v>
      </c>
      <c r="D683" s="2" t="n">
        <v>498500</v>
      </c>
      <c r="E683" t="str">
        <f aca="1">INDEX('[1]Data Export (2)'!$A:$K,MATCH(A683,'[1]Data Export (2)'!$B:$B,0),11)</f>
        <v>Dépréciations des créances HAO</v>
      </c>
    </row>
    <row r="684" spans="1:5">
      <c r="A684" t="s">
        <v>2181</v>
      </c>
      <c r="B684" t="s">
        <v>2182</v>
      </c>
      <c r="C684" t="s">
        <v>2183</v>
      </c>
      <c r="D684" s="2" t="n">
        <v>498600</v>
      </c>
      <c r="E684" t="str">
        <f aca="1">INDEX('[1]Data Export (2)'!$A:$K,MATCH(A684,'[1]Data Export (2)'!$B:$B,0),11)</f>
        <v>Dépréciations des créances HAO</v>
      </c>
    </row>
    <row r="685" spans="1:5">
      <c r="A685" t="s">
        <v>2184</v>
      </c>
      <c r="B685" t="s">
        <v>2185</v>
      </c>
      <c r="C685" t="s">
        <v>2186</v>
      </c>
      <c r="D685" s="2" t="n">
        <v>498800</v>
      </c>
      <c r="E685" t="str">
        <f aca="1">INDEX('[1]Data Export (2)'!$A:$K,MATCH(A685,'[1]Data Export (2)'!$B:$B,0),11)</f>
        <v>Dépréciations des créances HAO</v>
      </c>
    </row>
    <row r="686" spans="1:5">
      <c r="A686" t="s">
        <v>2187</v>
      </c>
      <c r="B686" t="s">
        <v>2188</v>
      </c>
      <c r="C686" t="s">
        <v>2189</v>
      </c>
      <c r="D686" s="2" t="n">
        <v>499000</v>
      </c>
      <c r="E686" t="str">
        <f aca="1">INDEX('[1]Data Export (2)'!$A:$K,MATCH(A686,'[1]Data Export (2)'!$B:$B,0),11)</f>
        <v>Provisions pour risques et charges CT</v>
      </c>
    </row>
    <row r="687" spans="1:5">
      <c r="A687" t="s">
        <v>2190</v>
      </c>
      <c r="B687" t="s">
        <v>2191</v>
      </c>
      <c r="C687" t="s">
        <v>2192</v>
      </c>
      <c r="D687" s="2" t="n">
        <v>499100</v>
      </c>
      <c r="E687" t="str">
        <f aca="1">INDEX('[1]Data Export (2)'!$A:$K,MATCH(A687,'[1]Data Export (2)'!$B:$B,0),11)</f>
        <v>Provisions pour risques et charges CT</v>
      </c>
    </row>
    <row r="688" spans="1:5">
      <c r="A688" t="s">
        <v>2193</v>
      </c>
      <c r="B688" t="s">
        <v>2194</v>
      </c>
      <c r="C688" t="s">
        <v>2195</v>
      </c>
      <c r="D688" s="2" t="n">
        <v>499700</v>
      </c>
      <c r="E688" t="str">
        <f aca="1">INDEX('[1]Data Export (2)'!$A:$K,MATCH(A688,'[1]Data Export (2)'!$B:$B,0),11)</f>
        <v>Provisions pour risques et charges CT</v>
      </c>
    </row>
    <row r="689" spans="1:5">
      <c r="A689" t="s">
        <v>2196</v>
      </c>
      <c r="B689" t="s">
        <v>2197</v>
      </c>
      <c r="C689" t="s">
        <v>2198</v>
      </c>
      <c r="D689" s="2" t="n">
        <v>499800</v>
      </c>
      <c r="E689" t="str">
        <f aca="1">INDEX('[1]Data Export (2)'!$A:$K,MATCH(A689,'[1]Data Export (2)'!$B:$B,0),11)</f>
        <v>Provisions pour risques et charges CT</v>
      </c>
    </row>
    <row r="690" spans="1:2">
      <c r="A690" t="s">
        <v>2199</v>
      </c>
      <c r="B690" t="s">
        <v>2200</v>
      </c>
    </row>
    <row r="691" spans="1:6">
      <c r="A691" t="s">
        <v>2201</v>
      </c>
      <c r="B691" t="s">
        <v>2202</v>
      </c>
      <c r="C691" t="s">
        <v>2203</v>
      </c>
      <c r="D691" s="4" t="str">
        <f>RIGHT(LEFT(A691,3),2)</f>
        <v>40</v>
      </c>
      <c r="F691" t="s">
        <v>2204</v>
      </c>
    </row>
    <row r="692" spans="1:6">
      <c r="A692" t="s">
        <v>2205</v>
      </c>
      <c r="B692" t="s">
        <v>2206</v>
      </c>
      <c r="C692" t="s">
        <v>2207</v>
      </c>
      <c r="D692" s="2" t="n">
        <v>401000</v>
      </c>
      <c r="E692" t="str">
        <f aca="1">INDEX('[1]Data Export (2)'!$A:$K,MATCH(A692,'[1]Data Export (2)'!$B:$B,0),11)</f>
        <v>Fournisseurs d'exploitation</v>
      </c>
      <c r="F692" t="s">
        <v>2208</v>
      </c>
    </row>
    <row r="693" spans="1:6">
      <c r="A693" t="s">
        <v>2209</v>
      </c>
      <c r="B693" t="s">
        <v>2210</v>
      </c>
      <c r="C693" t="s">
        <v>2211</v>
      </c>
      <c r="D693" s="2" t="n">
        <v>401100</v>
      </c>
      <c r="E693" t="str">
        <f aca="1">INDEX('[1]Data Export (2)'!$A:$K,MATCH(A693,'[1]Data Export (2)'!$B:$B,0),11)</f>
        <v>Fournisseurs d'exploitation</v>
      </c>
      <c r="F693" t="s">
        <v>2212</v>
      </c>
    </row>
    <row r="694" spans="1:6">
      <c r="A694" t="s">
        <v>2213</v>
      </c>
      <c r="B694" t="s">
        <v>2214</v>
      </c>
      <c r="C694" t="s">
        <v>2215</v>
      </c>
      <c r="D694" s="2" t="n">
        <v>401200</v>
      </c>
      <c r="E694" t="str">
        <f aca="1">INDEX('[1]Data Export (2)'!$A:$K,MATCH(A694,'[1]Data Export (2)'!$B:$B,0),11)</f>
        <v>Fournisseurs d'exploitation</v>
      </c>
      <c r="F694" t="s">
        <v>2216</v>
      </c>
    </row>
    <row r="695" spans="1:6">
      <c r="A695" t="s">
        <v>2217</v>
      </c>
      <c r="B695" t="s">
        <v>2218</v>
      </c>
      <c r="C695" t="s">
        <v>2219</v>
      </c>
      <c r="D695" s="2" t="n">
        <v>401300</v>
      </c>
      <c r="E695" t="str">
        <f aca="1">INDEX('[1]Data Export (2)'!$A:$K,MATCH(D695,'[1]Data Export (2)'!$F:$F,0),11)</f>
        <v>Fournisseurs d'exploitation</v>
      </c>
      <c r="F695" t="s">
        <v>2220</v>
      </c>
    </row>
    <row r="696" spans="1:6">
      <c r="A696" t="s">
        <v>2221</v>
      </c>
      <c r="B696" t="s">
        <v>2222</v>
      </c>
      <c r="C696" t="s">
        <v>2223</v>
      </c>
      <c r="D696" s="2" t="n">
        <v>401600</v>
      </c>
      <c r="E696" t="str">
        <f aca="1">INDEX('[1]Data Export (2)'!$A:$K,MATCH(A696,'[1]Data Export (2)'!$B:$B,0),11)</f>
        <v>Fournisseurs d'exploitation</v>
      </c>
      <c r="F696" t="s">
        <v>2224</v>
      </c>
    </row>
    <row r="697" spans="1:6">
      <c r="A697" t="s">
        <v>2225</v>
      </c>
      <c r="B697" t="s">
        <v>2226</v>
      </c>
      <c r="C697" t="s">
        <v>2227</v>
      </c>
      <c r="D697" s="2" t="n">
        <v>401700</v>
      </c>
      <c r="E697" t="str">
        <f aca="1">INDEX('[1]Data Export (2)'!$A:$K,MATCH(A697,'[1]Data Export (2)'!$B:$B,0),11)</f>
        <v>Fournisseurs d'exploitation</v>
      </c>
      <c r="F697" t="s">
        <v>2228</v>
      </c>
    </row>
    <row r="698" spans="1:6">
      <c r="A698" t="s">
        <v>2229</v>
      </c>
      <c r="B698" t="s">
        <v>2230</v>
      </c>
      <c r="C698" t="s">
        <v>2231</v>
      </c>
      <c r="D698" s="2" t="n">
        <v>402000</v>
      </c>
      <c r="E698" t="str">
        <f aca="1">INDEX('[1]Data Export (2)'!$A:$K,MATCH(A698,'[1]Data Export (2)'!$B:$B,0),11)</f>
        <v>Fournisseurs d'exploitation</v>
      </c>
      <c r="F698" t="s">
        <v>2232</v>
      </c>
    </row>
    <row r="699" spans="1:6">
      <c r="A699" t="s">
        <v>2233</v>
      </c>
      <c r="B699" t="s">
        <v>2234</v>
      </c>
      <c r="C699" t="s">
        <v>2235</v>
      </c>
      <c r="D699" s="2" t="n">
        <v>402100</v>
      </c>
      <c r="E699" t="str">
        <f aca="1">INDEX('[1]Data Export (2)'!$A:$K,MATCH(A699,'[1]Data Export (2)'!$B:$B,0),11)</f>
        <v>Fournisseurs d'exploitation</v>
      </c>
      <c r="F699" t="s">
        <v>2236</v>
      </c>
    </row>
    <row r="700" spans="1:6">
      <c r="A700" t="s">
        <v>2237</v>
      </c>
      <c r="B700" t="s">
        <v>2238</v>
      </c>
      <c r="C700" t="s">
        <v>2239</v>
      </c>
      <c r="D700" s="2" t="n">
        <v>402200</v>
      </c>
      <c r="E700" t="str">
        <f aca="1">INDEX('[1]Data Export (2)'!$A:$K,MATCH(A700,'[1]Data Export (2)'!$B:$B,0),11)</f>
        <v>Fournisseurs d'exploitation</v>
      </c>
      <c r="F700" t="s">
        <v>2240</v>
      </c>
    </row>
    <row r="701" spans="1:6">
      <c r="A701" t="s">
        <v>2241</v>
      </c>
      <c r="B701" t="s">
        <v>2242</v>
      </c>
      <c r="C701" t="s">
        <v>2243</v>
      </c>
      <c r="D701" s="2" t="n">
        <v>402300</v>
      </c>
      <c r="E701" t="str">
        <f aca="1">INDEX('[1]Data Export (2)'!$A:$K,MATCH(D701,'[1]Data Export (2)'!$F:$F,0),11)</f>
        <v>Fournisseurs d'exploitation</v>
      </c>
      <c r="F701" t="s">
        <v>2244</v>
      </c>
    </row>
    <row r="702" spans="1:6">
      <c r="A702" t="s">
        <v>2245</v>
      </c>
      <c r="B702" t="s">
        <v>2246</v>
      </c>
      <c r="C702" t="s">
        <v>2247</v>
      </c>
      <c r="D702" s="2" t="n">
        <v>404000</v>
      </c>
      <c r="E702" t="str">
        <f aca="1">INDEX('[1]Data Export (2)'!$A:$K,MATCH(A702,'[1]Data Export (2)'!$B:$B,0),11)</f>
        <v>Fournisseurs d'exploitation</v>
      </c>
      <c r="F702" t="s">
        <v>2248</v>
      </c>
    </row>
    <row r="703" spans="1:6">
      <c r="A703" t="s">
        <v>2249</v>
      </c>
      <c r="B703" t="s">
        <v>2250</v>
      </c>
      <c r="C703" t="s">
        <v>2251</v>
      </c>
      <c r="D703" s="2" t="n">
        <v>404100</v>
      </c>
      <c r="E703" t="str">
        <f aca="1">INDEX('[1]Data Export (2)'!$A:$K,MATCH(A703,'[1]Data Export (2)'!$B:$B,0),11)</f>
        <v>Fournisseurs d'exploitation</v>
      </c>
      <c r="F703" t="s">
        <v>2252</v>
      </c>
    </row>
    <row r="704" spans="1:6">
      <c r="A704" t="s">
        <v>2253</v>
      </c>
      <c r="B704" t="s">
        <v>2254</v>
      </c>
      <c r="C704" t="s">
        <v>2255</v>
      </c>
      <c r="D704" s="2" t="n">
        <v>404200</v>
      </c>
      <c r="E704" t="str">
        <f aca="1">INDEX('[1]Data Export (2)'!$A:$K,MATCH(A704,'[1]Data Export (2)'!$B:$B,0),11)</f>
        <v>Fournisseurs d'exploitation</v>
      </c>
      <c r="F704" t="s">
        <v>2256</v>
      </c>
    </row>
    <row r="705" spans="1:6">
      <c r="A705" t="s">
        <v>2257</v>
      </c>
      <c r="B705" t="s">
        <v>2258</v>
      </c>
      <c r="C705" t="s">
        <v>2259</v>
      </c>
      <c r="D705" s="2" t="n">
        <v>404600</v>
      </c>
      <c r="E705" t="str">
        <f aca="1">INDEX('[1]Data Export (2)'!$A:$K,MATCH(A705,'[1]Data Export (2)'!$B:$B,0),11)</f>
        <v>Fournisseurs d'exploitation</v>
      </c>
      <c r="F705" t="s">
        <v>2260</v>
      </c>
    </row>
    <row r="706" spans="1:6">
      <c r="A706" t="s">
        <v>2261</v>
      </c>
      <c r="B706" t="s">
        <v>2262</v>
      </c>
      <c r="C706" t="s">
        <v>2263</v>
      </c>
      <c r="D706" s="2" t="n">
        <v>404700</v>
      </c>
      <c r="E706" t="str">
        <f aca="1">INDEX('[1]Data Export (2)'!$A:$K,MATCH(A706,'[1]Data Export (2)'!$B:$B,0),11)</f>
        <v>Fournisseurs d'exploitation</v>
      </c>
      <c r="F706" t="s">
        <v>2264</v>
      </c>
    </row>
    <row r="707" spans="1:6">
      <c r="A707" t="s">
        <v>2265</v>
      </c>
      <c r="B707" t="s">
        <v>2266</v>
      </c>
      <c r="C707" t="s">
        <v>2267</v>
      </c>
      <c r="D707" s="2" t="n">
        <v>408000</v>
      </c>
      <c r="E707" t="str">
        <f aca="1">INDEX('[1]Data Export (2)'!$A:$K,MATCH(A707,'[1]Data Export (2)'!$B:$B,0),11)</f>
        <v>Fournisseurs d'exploitation</v>
      </c>
      <c r="F707" t="s">
        <v>2268</v>
      </c>
    </row>
    <row r="708" spans="1:6">
      <c r="A708" t="s">
        <v>2269</v>
      </c>
      <c r="B708" t="s">
        <v>2270</v>
      </c>
      <c r="C708" t="s">
        <v>2271</v>
      </c>
      <c r="D708" s="2" t="n">
        <v>408100</v>
      </c>
      <c r="E708" t="str">
        <f aca="1">INDEX('[1]Data Export (2)'!$A:$K,MATCH(A708,'[1]Data Export (2)'!$B:$B,0),11)</f>
        <v>Fournisseurs d'exploitation</v>
      </c>
      <c r="F708" t="s">
        <v>2272</v>
      </c>
    </row>
    <row r="709" spans="1:6">
      <c r="A709" t="s">
        <v>2273</v>
      </c>
      <c r="B709" t="s">
        <v>2274</v>
      </c>
      <c r="C709" t="s">
        <v>2275</v>
      </c>
      <c r="D709" s="2" t="n">
        <v>408200</v>
      </c>
      <c r="E709" t="str">
        <f aca="1">INDEX('[1]Data Export (2)'!$A:$K,MATCH(A709,'[1]Data Export (2)'!$B:$B,0),11)</f>
        <v>Fournisseurs d'exploitation</v>
      </c>
      <c r="F709" t="s">
        <v>2276</v>
      </c>
    </row>
    <row r="710" spans="1:6">
      <c r="A710" t="s">
        <v>2277</v>
      </c>
      <c r="B710" t="s">
        <v>2278</v>
      </c>
      <c r="C710" t="s">
        <v>2279</v>
      </c>
      <c r="D710" s="2" t="n">
        <v>408300</v>
      </c>
      <c r="E710" t="str">
        <f aca="1">INDEX('[1]Data Export (2)'!$A:$K,MATCH(D710,'[1]Data Export (2)'!$F:$F,0),11)</f>
        <v>Fournisseurs d'exploitation</v>
      </c>
      <c r="F710" t="s">
        <v>2280</v>
      </c>
    </row>
    <row r="711" spans="1:6">
      <c r="A711" t="s">
        <v>2281</v>
      </c>
      <c r="B711" t="s">
        <v>2282</v>
      </c>
      <c r="C711" t="s">
        <v>2283</v>
      </c>
      <c r="D711" s="2" t="n">
        <v>408600</v>
      </c>
      <c r="E711" t="str">
        <f aca="1">INDEX('[1]Data Export (2)'!$A:$K,MATCH(A711,'[1]Data Export (2)'!$B:$B,0),11)</f>
        <v>Fournisseurs d'exploitation</v>
      </c>
      <c r="F711" t="s">
        <v>2284</v>
      </c>
    </row>
    <row r="712" spans="1:4">
      <c r="A712" t="s">
        <v>2285</v>
      </c>
      <c r="B712" t="s">
        <v>2286</v>
      </c>
      <c r="C712" t="s">
        <v>2287</v>
      </c>
      <c r="D712" s="4" t="str">
        <f>RIGHT(LEFT(A712,3),2)</f>
        <v>41</v>
      </c>
    </row>
    <row r="713" spans="1:5">
      <c r="A713" t="s">
        <v>2288</v>
      </c>
      <c r="B713" t="s">
        <v>2289</v>
      </c>
      <c r="C713" t="s">
        <v>2290</v>
      </c>
      <c r="D713" s="2" t="n">
        <v>419000</v>
      </c>
      <c r="E713" t="str">
        <f aca="1">INDEX('[1]Data Export (2)'!$A:$K,MATCH(A713,'[1]Data Export (2)'!$B:$B,0),11)</f>
        <v>Clients, avances reçues</v>
      </c>
    </row>
    <row r="714" spans="1:5">
      <c r="A714" t="s">
        <v>2291</v>
      </c>
      <c r="B714" t="s">
        <v>2292</v>
      </c>
      <c r="C714" t="s">
        <v>2293</v>
      </c>
      <c r="D714" s="2" t="n">
        <v>419100</v>
      </c>
      <c r="E714" t="str">
        <f aca="1">INDEX('[1]Data Export (2)'!$A:$K,MATCH(A714,'[1]Data Export (2)'!$B:$B,0),11)</f>
        <v>Clients, avances reçues</v>
      </c>
    </row>
    <row r="715" spans="1:5">
      <c r="A715" t="s">
        <v>2294</v>
      </c>
      <c r="B715" t="s">
        <v>2295</v>
      </c>
      <c r="C715" t="s">
        <v>2296</v>
      </c>
      <c r="D715" s="2" t="n">
        <v>419200</v>
      </c>
      <c r="E715" t="str">
        <f aca="1">INDEX('[1]Data Export (2)'!$A:$K,MATCH(A715,'[1]Data Export (2)'!$B:$B,0),11)</f>
        <v>Clients, avances reçues</v>
      </c>
    </row>
    <row r="716" spans="1:5">
      <c r="A716" t="s">
        <v>2297</v>
      </c>
      <c r="B716" t="s">
        <v>2298</v>
      </c>
      <c r="C716" t="s">
        <v>2299</v>
      </c>
      <c r="D716" s="2" t="n">
        <v>419400</v>
      </c>
      <c r="E716" t="str">
        <f aca="1">INDEX('[1]Data Export (2)'!$A:$K,MATCH(A716,'[1]Data Export (2)'!$B:$B,0),11)</f>
        <v>Clients, avances reçues</v>
      </c>
    </row>
    <row r="717" spans="1:5">
      <c r="A717" t="s">
        <v>2300</v>
      </c>
      <c r="B717" t="s">
        <v>2301</v>
      </c>
      <c r="C717" t="s">
        <v>2302</v>
      </c>
      <c r="D717" s="2" t="n">
        <v>419800</v>
      </c>
      <c r="E717" t="str">
        <f aca="1">INDEX('[1]Data Export (2)'!$A:$K,MATCH(A717,'[1]Data Export (2)'!$B:$B,0),11)</f>
        <v>Clients, avances reçues</v>
      </c>
    </row>
    <row r="718" spans="1:4">
      <c r="A718" t="s">
        <v>2303</v>
      </c>
      <c r="B718" t="s">
        <v>2304</v>
      </c>
      <c r="C718" t="s">
        <v>2305</v>
      </c>
      <c r="D718" s="4" t="str">
        <f>RIGHT(LEFT(A718,3),2)</f>
        <v>42</v>
      </c>
    </row>
    <row r="719" spans="1:5">
      <c r="A719" t="s">
        <v>2306</v>
      </c>
      <c r="B719" t="s">
        <v>2307</v>
      </c>
      <c r="C719" t="s">
        <v>2308</v>
      </c>
      <c r="D719" s="2" t="n">
        <v>422000</v>
      </c>
      <c r="E719" t="str">
        <f aca="1">INDEX('[1]Data Export (2)'!$A:$K,MATCH(A719,'[1]Data Export (2)'!$B:$B,0),11)</f>
        <v>Autres dettes</v>
      </c>
    </row>
    <row r="720" spans="1:5">
      <c r="A720" t="s">
        <v>2309</v>
      </c>
      <c r="B720" t="s">
        <v>2310</v>
      </c>
      <c r="C720" t="s">
        <v>2311</v>
      </c>
      <c r="D720" s="2" t="n">
        <v>423000</v>
      </c>
      <c r="E720" t="str">
        <f aca="1">INDEX('[1]Data Export (2)'!$A:$K,MATCH(D720,'[1]Data Export (2)'!$F:$F,0),11)</f>
        <v>Autres dettes</v>
      </c>
    </row>
    <row r="721" spans="1:5">
      <c r="A721" t="s">
        <v>2312</v>
      </c>
      <c r="B721" t="s">
        <v>2313</v>
      </c>
      <c r="C721" t="s">
        <v>2314</v>
      </c>
      <c r="D721" s="2" t="n">
        <v>423100</v>
      </c>
      <c r="E721" t="str">
        <f aca="1">INDEX('[1]Data Export (2)'!$A:$K,MATCH(A721,'[1]Data Export (2)'!$B:$B,0),11)</f>
        <v>Autres dettes</v>
      </c>
    </row>
    <row r="722" spans="1:5">
      <c r="A722" t="s">
        <v>2315</v>
      </c>
      <c r="B722" t="s">
        <v>2316</v>
      </c>
      <c r="C722" t="s">
        <v>2317</v>
      </c>
      <c r="D722" s="2" t="n">
        <v>423200</v>
      </c>
      <c r="E722" t="str">
        <f aca="1">INDEX('[1]Data Export (2)'!$A:$K,MATCH(D722,'[1]Data Export (2)'!$F:$F,0),11)</f>
        <v>Autres dettes</v>
      </c>
    </row>
    <row r="723" spans="1:5">
      <c r="A723" t="s">
        <v>2318</v>
      </c>
      <c r="B723" t="s">
        <v>2319</v>
      </c>
      <c r="C723" t="s">
        <v>2320</v>
      </c>
      <c r="D723" s="2" t="n">
        <v>423300</v>
      </c>
      <c r="E723" t="str">
        <f aca="1">INDEX('[1]Data Export (2)'!$A:$K,MATCH(A723,'[1]Data Export (2)'!$B:$B,0),11)</f>
        <v>Autres dettes</v>
      </c>
    </row>
    <row r="724" spans="1:5">
      <c r="A724" t="s">
        <v>2321</v>
      </c>
      <c r="B724" t="s">
        <v>2322</v>
      </c>
      <c r="C724" t="s">
        <v>2323</v>
      </c>
      <c r="D724" s="2" t="n">
        <v>424000</v>
      </c>
      <c r="E724" t="str">
        <f aca="1">INDEX('[1]Data Export (2)'!$A:$K,MATCH(A724,'[1]Data Export (2)'!$B:$B,0),11)</f>
        <v>Autres dettes</v>
      </c>
    </row>
    <row r="725" spans="1:5">
      <c r="A725" t="s">
        <v>2324</v>
      </c>
      <c r="B725" t="s">
        <v>2325</v>
      </c>
      <c r="C725" t="s">
        <v>2326</v>
      </c>
      <c r="D725" s="2" t="n">
        <v>424100</v>
      </c>
      <c r="E725" t="str">
        <f aca="1">INDEX('[1]Data Export (2)'!$A:$K,MATCH(A725,'[1]Data Export (2)'!$B:$B,0),11)</f>
        <v>Autres dettes</v>
      </c>
    </row>
    <row r="726" spans="1:5">
      <c r="A726" t="s">
        <v>2327</v>
      </c>
      <c r="B726" t="s">
        <v>2328</v>
      </c>
      <c r="C726" t="s">
        <v>2329</v>
      </c>
      <c r="D726" s="2" t="n">
        <v>424200</v>
      </c>
      <c r="E726" t="str">
        <f aca="1">INDEX('[1]Data Export (2)'!$A:$K,MATCH(A726,'[1]Data Export (2)'!$B:$B,0),11)</f>
        <v>Autres dettes</v>
      </c>
    </row>
    <row r="727" spans="1:5">
      <c r="A727" t="s">
        <v>2330</v>
      </c>
      <c r="B727" t="s">
        <v>2331</v>
      </c>
      <c r="C727" t="s">
        <v>2332</v>
      </c>
      <c r="D727" s="2" t="n">
        <v>424500</v>
      </c>
      <c r="E727" t="str">
        <f aca="1">INDEX('[1]Data Export (2)'!$A:$K,MATCH(A727,'[1]Data Export (2)'!$B:$B,0),11)</f>
        <v>Autres dettes</v>
      </c>
    </row>
    <row r="728" spans="1:5">
      <c r="A728" t="s">
        <v>2333</v>
      </c>
      <c r="B728" t="s">
        <v>2334</v>
      </c>
      <c r="C728" t="s">
        <v>2335</v>
      </c>
      <c r="D728" s="2" t="n">
        <v>424800</v>
      </c>
      <c r="E728" t="str">
        <f aca="1">INDEX('[1]Data Export (2)'!$A:$K,MATCH(A728,'[1]Data Export (2)'!$B:$B,0),11)</f>
        <v>Autres dettes</v>
      </c>
    </row>
    <row r="729" spans="1:5">
      <c r="A729" t="s">
        <v>2336</v>
      </c>
      <c r="B729" t="s">
        <v>2337</v>
      </c>
      <c r="C729" t="s">
        <v>2338</v>
      </c>
      <c r="D729" s="2" t="n">
        <v>425000</v>
      </c>
      <c r="E729" t="str">
        <f aca="1">INDEX('[1]Data Export (2)'!$A:$K,MATCH(A729,'[1]Data Export (2)'!$B:$B,0),11)</f>
        <v>Autres dettes</v>
      </c>
    </row>
    <row r="730" spans="1:5">
      <c r="A730" t="s">
        <v>2339</v>
      </c>
      <c r="B730" t="s">
        <v>2340</v>
      </c>
      <c r="C730" t="s">
        <v>2341</v>
      </c>
      <c r="D730" s="2" t="n">
        <v>425100</v>
      </c>
      <c r="E730" t="str">
        <f aca="1">INDEX('[1]Data Export (2)'!$A:$K,MATCH(A730,'[1]Data Export (2)'!$B:$B,0),11)</f>
        <v>Autres dettes</v>
      </c>
    </row>
    <row r="731" spans="1:5">
      <c r="A731" t="s">
        <v>2342</v>
      </c>
      <c r="B731" t="s">
        <v>2343</v>
      </c>
      <c r="C731" t="s">
        <v>2344</v>
      </c>
      <c r="D731" s="2" t="n">
        <v>425200</v>
      </c>
      <c r="E731" t="str">
        <f aca="1">INDEX('[1]Data Export (2)'!$A:$K,MATCH(A731,'[1]Data Export (2)'!$B:$B,0),11)</f>
        <v>Autres dettes</v>
      </c>
    </row>
    <row r="732" spans="1:5">
      <c r="A732" t="s">
        <v>2345</v>
      </c>
      <c r="B732" t="s">
        <v>2346</v>
      </c>
      <c r="C732" t="s">
        <v>2347</v>
      </c>
      <c r="D732" s="2" t="n">
        <v>425800</v>
      </c>
      <c r="E732" t="str">
        <f aca="1">INDEX('[1]Data Export (2)'!$A:$K,MATCH(A732,'[1]Data Export (2)'!$B:$B,0),11)</f>
        <v>Autres dettes</v>
      </c>
    </row>
    <row r="733" spans="1:5">
      <c r="A733" t="s">
        <v>2348</v>
      </c>
      <c r="B733" t="s">
        <v>2349</v>
      </c>
      <c r="C733" t="s">
        <v>2350</v>
      </c>
      <c r="D733" s="2" t="n">
        <v>426000</v>
      </c>
      <c r="E733" t="str">
        <f aca="1">INDEX('[1]Data Export (2)'!$A:$K,MATCH(A733,'[1]Data Export (2)'!$B:$B,0),11)</f>
        <v>Autres dettes</v>
      </c>
    </row>
    <row r="734" spans="1:5">
      <c r="A734" t="s">
        <v>2351</v>
      </c>
      <c r="B734" t="s">
        <v>2352</v>
      </c>
      <c r="C734" t="s">
        <v>2353</v>
      </c>
      <c r="D734" s="2" t="n">
        <v>426100</v>
      </c>
      <c r="E734" t="str">
        <f aca="1">INDEX('[1]Data Export (2)'!$A:$K,MATCH(A734,'[1]Data Export (2)'!$B:$B,0),11)</f>
        <v>Autres dettes</v>
      </c>
    </row>
    <row r="735" spans="1:5">
      <c r="A735" t="s">
        <v>2354</v>
      </c>
      <c r="B735" t="s">
        <v>2355</v>
      </c>
      <c r="C735" t="s">
        <v>2356</v>
      </c>
      <c r="D735" s="2" t="n">
        <v>426400</v>
      </c>
      <c r="E735" t="str">
        <f aca="1">INDEX('[1]Data Export (2)'!$A:$K,MATCH(A735,'[1]Data Export (2)'!$B:$B,0),11)</f>
        <v>Autres dettes</v>
      </c>
    </row>
    <row r="736" spans="1:5">
      <c r="A736" t="s">
        <v>2357</v>
      </c>
      <c r="B736" t="s">
        <v>2358</v>
      </c>
      <c r="C736" t="s">
        <v>2359</v>
      </c>
      <c r="D736" s="2" t="n">
        <v>427000</v>
      </c>
      <c r="E736" t="str">
        <f aca="1">INDEX('[1]Data Export (2)'!$A:$K,MATCH(A736,'[1]Data Export (2)'!$B:$B,0),11)</f>
        <v>Autres dettes</v>
      </c>
    </row>
    <row r="737" spans="1:5">
      <c r="A737" t="s">
        <v>2360</v>
      </c>
      <c r="B737" t="s">
        <v>2361</v>
      </c>
      <c r="C737" t="s">
        <v>2362</v>
      </c>
      <c r="D737" s="2" t="n">
        <v>428000</v>
      </c>
      <c r="E737" t="str">
        <f aca="1">INDEX('[1]Data Export (2)'!$A:$K,MATCH(A737,'[1]Data Export (2)'!$B:$B,0),11)</f>
        <v>Autres dettes</v>
      </c>
    </row>
    <row r="738" spans="1:5">
      <c r="A738" t="s">
        <v>2363</v>
      </c>
      <c r="B738" t="s">
        <v>2364</v>
      </c>
      <c r="C738" t="s">
        <v>2365</v>
      </c>
      <c r="D738" s="2" t="n">
        <v>428100</v>
      </c>
      <c r="E738" t="str">
        <f aca="1">INDEX('[1]Data Export (2)'!$A:$K,MATCH(A738,'[1]Data Export (2)'!$B:$B,0),11)</f>
        <v>Autres dettes</v>
      </c>
    </row>
    <row r="739" spans="1:5">
      <c r="A739" t="s">
        <v>2366</v>
      </c>
      <c r="B739" t="s">
        <v>2367</v>
      </c>
      <c r="C739" t="s">
        <v>2368</v>
      </c>
      <c r="D739" s="2" t="n">
        <v>428600</v>
      </c>
      <c r="E739" t="str">
        <f aca="1">INDEX('[1]Data Export (2)'!$A:$K,MATCH(A739,'[1]Data Export (2)'!$B:$B,0),11)</f>
        <v>Autres dettes</v>
      </c>
    </row>
    <row r="740" spans="1:5">
      <c r="A740" t="s">
        <v>2369</v>
      </c>
      <c r="B740" t="s">
        <v>2370</v>
      </c>
      <c r="C740" t="s">
        <v>2371</v>
      </c>
      <c r="D740" s="2" t="n">
        <v>428700</v>
      </c>
      <c r="E740" t="str">
        <f aca="1">INDEX('[1]Data Export (2)'!$A:$K,MATCH(A740,'[1]Data Export (2)'!$B:$B,0),11)</f>
        <v>Autres dettes</v>
      </c>
    </row>
    <row r="741" spans="1:4">
      <c r="A741" t="s">
        <v>2372</v>
      </c>
      <c r="B741" t="s">
        <v>2373</v>
      </c>
      <c r="C741" t="s">
        <v>2374</v>
      </c>
      <c r="D741" s="4" t="str">
        <f>RIGHT(LEFT(A741,3),2)</f>
        <v>43</v>
      </c>
    </row>
    <row r="742" spans="1:4">
      <c r="A742" t="s">
        <v>2375</v>
      </c>
      <c r="B742" t="s">
        <v>2376</v>
      </c>
      <c r="C742" t="s">
        <v>2377</v>
      </c>
      <c r="D742" s="4" t="n">
        <v>438</v>
      </c>
    </row>
    <row r="743" spans="1:5">
      <c r="A743" t="s">
        <v>2378</v>
      </c>
      <c r="B743" t="s">
        <v>2379</v>
      </c>
      <c r="C743" t="s">
        <v>2380</v>
      </c>
      <c r="D743" s="2" t="n">
        <v>438100</v>
      </c>
      <c r="E743" t="str">
        <f aca="1">INDEX('[1]Data Export (2)'!$A:$K,MATCH(A743,'[1]Data Export (2)'!$B:$B,0),11)</f>
        <v>Autres dettes</v>
      </c>
    </row>
    <row r="744" spans="1:5">
      <c r="A744" t="s">
        <v>2381</v>
      </c>
      <c r="B744" t="s">
        <v>2382</v>
      </c>
      <c r="C744" t="s">
        <v>2383</v>
      </c>
      <c r="D744" s="2" t="n">
        <v>438200</v>
      </c>
      <c r="E744" t="str">
        <f aca="1">INDEX('[1]Data Export (2)'!$A:$K,MATCH(A744,'[1]Data Export (2)'!$B:$B,0),11)</f>
        <v>Autres dettes</v>
      </c>
    </row>
    <row r="745" spans="1:5">
      <c r="A745" t="s">
        <v>2384</v>
      </c>
      <c r="B745" t="s">
        <v>2385</v>
      </c>
      <c r="C745" t="s">
        <v>2386</v>
      </c>
      <c r="D745" s="2" t="n">
        <v>438600</v>
      </c>
      <c r="E745" t="str">
        <f aca="1">INDEX('[1]Data Export (2)'!$A:$K,MATCH(A745,'[1]Data Export (2)'!$B:$B,0),11)</f>
        <v>Autres dettes</v>
      </c>
    </row>
    <row r="746" spans="1:4">
      <c r="A746" t="s">
        <v>2387</v>
      </c>
      <c r="B746" t="s">
        <v>2388</v>
      </c>
      <c r="C746" t="s">
        <v>2389</v>
      </c>
      <c r="D746" s="4" t="str">
        <f>RIGHT(LEFT(A746,3),2)</f>
        <v>44</v>
      </c>
    </row>
    <row r="747" spans="1:5">
      <c r="A747" t="s">
        <v>2390</v>
      </c>
      <c r="B747" t="s">
        <v>2391</v>
      </c>
      <c r="C747" t="s">
        <v>2392</v>
      </c>
      <c r="D747" s="2" t="n">
        <v>441000</v>
      </c>
      <c r="E747" t="str">
        <f aca="1">INDEX('[1]Data Export (2)'!$A:$K,MATCH(A747,'[1]Data Export (2)'!$B:$B,0),11)</f>
        <v>Autres dettes</v>
      </c>
    </row>
    <row r="748" spans="1:5">
      <c r="A748" t="s">
        <v>2393</v>
      </c>
      <c r="B748" t="s">
        <v>2394</v>
      </c>
      <c r="C748" t="s">
        <v>2395</v>
      </c>
      <c r="D748" s="2" t="n">
        <v>442000</v>
      </c>
      <c r="E748" t="str">
        <f aca="1">INDEX('[1]Data Export (2)'!$A:$K,MATCH(A748,'[1]Data Export (2)'!$B:$B,0),11)</f>
        <v>Autres dettes</v>
      </c>
    </row>
    <row r="749" spans="1:5">
      <c r="A749" t="s">
        <v>2396</v>
      </c>
      <c r="B749" t="s">
        <v>2397</v>
      </c>
      <c r="C749" t="s">
        <v>2398</v>
      </c>
      <c r="D749" s="2" t="n">
        <v>442100</v>
      </c>
      <c r="E749" t="str">
        <f aca="1">INDEX('[1]Data Export (2)'!$A:$K,MATCH(A749,'[1]Data Export (2)'!$B:$B,0),11)</f>
        <v>Autres dettes</v>
      </c>
    </row>
    <row r="750" spans="1:5">
      <c r="A750" t="s">
        <v>2399</v>
      </c>
      <c r="B750" t="s">
        <v>2400</v>
      </c>
      <c r="C750" t="s">
        <v>2401</v>
      </c>
      <c r="D750" s="2" t="n">
        <v>442200</v>
      </c>
      <c r="E750" t="str">
        <f aca="1">INDEX('[1]Data Export (2)'!$A:$K,MATCH(A750,'[1]Data Export (2)'!$B:$B,0),11)</f>
        <v>Autres dettes</v>
      </c>
    </row>
    <row r="751" spans="1:5">
      <c r="A751" t="s">
        <v>2402</v>
      </c>
      <c r="B751" t="s">
        <v>2403</v>
      </c>
      <c r="C751" t="s">
        <v>2404</v>
      </c>
      <c r="D751" s="2" t="n">
        <v>442300</v>
      </c>
      <c r="E751" t="str">
        <f aca="1">INDEX('[1]Data Export (2)'!$A:$K,MATCH(A751,'[1]Data Export (2)'!$B:$B,0),11)</f>
        <v>Autres dettes</v>
      </c>
    </row>
    <row r="752" spans="1:5">
      <c r="A752" t="s">
        <v>2405</v>
      </c>
      <c r="B752" t="s">
        <v>2406</v>
      </c>
      <c r="C752" t="s">
        <v>2407</v>
      </c>
      <c r="D752" s="2" t="n">
        <v>442400</v>
      </c>
      <c r="E752" t="str">
        <f aca="1">INDEX('[1]Data Export (2)'!$A:$K,MATCH(A752,'[1]Data Export (2)'!$B:$B,0),11)</f>
        <v>Autres dettes</v>
      </c>
    </row>
    <row r="753" spans="1:5">
      <c r="A753" t="s">
        <v>2408</v>
      </c>
      <c r="B753" t="s">
        <v>2409</v>
      </c>
      <c r="C753" t="s">
        <v>2410</v>
      </c>
      <c r="D753" s="2" t="n">
        <v>442600</v>
      </c>
      <c r="E753" t="str">
        <f aca="1">INDEX('[1]Data Export (2)'!$A:$K,MATCH(A753,'[1]Data Export (2)'!$B:$B,0),11)</f>
        <v>Autres dettes</v>
      </c>
    </row>
    <row r="754" spans="1:5">
      <c r="A754" t="s">
        <v>2411</v>
      </c>
      <c r="B754" t="s">
        <v>2412</v>
      </c>
      <c r="C754" t="s">
        <v>2413</v>
      </c>
      <c r="D754" s="2" t="n">
        <v>442800</v>
      </c>
      <c r="E754" t="str">
        <f aca="1">INDEX('[1]Data Export (2)'!$A:$K,MATCH(A754,'[1]Data Export (2)'!$B:$B,0),11)</f>
        <v>Autres dettes</v>
      </c>
    </row>
    <row r="755" spans="1:5">
      <c r="A755" t="s">
        <v>2414</v>
      </c>
      <c r="B755" t="s">
        <v>2415</v>
      </c>
      <c r="C755" t="s">
        <v>2416</v>
      </c>
      <c r="D755" s="2" t="n">
        <v>444000</v>
      </c>
      <c r="E755" t="str">
        <f aca="1">INDEX('[1]Data Export (2)'!$A:$K,MATCH(A755,'[1]Data Export (2)'!$B:$B,0),11)</f>
        <v>Autres dettes</v>
      </c>
    </row>
    <row r="756" spans="1:5">
      <c r="A756" t="s">
        <v>2417</v>
      </c>
      <c r="B756" t="s">
        <v>2418</v>
      </c>
      <c r="C756" t="s">
        <v>2419</v>
      </c>
      <c r="D756" s="2" t="n">
        <v>444100</v>
      </c>
      <c r="E756" t="str">
        <f aca="1">INDEX('[1]Data Export (2)'!$A:$K,MATCH(A756,'[1]Data Export (2)'!$B:$B,0),11)</f>
        <v>Autres dettes</v>
      </c>
    </row>
    <row r="757" spans="1:5">
      <c r="A757" t="s">
        <v>2420</v>
      </c>
      <c r="B757" t="s">
        <v>2421</v>
      </c>
      <c r="C757" t="s">
        <v>2422</v>
      </c>
      <c r="D757" s="2" t="n">
        <v>444900</v>
      </c>
      <c r="E757" t="str">
        <f aca="1">INDEX('[1]Data Export (2)'!$A:$K,MATCH(A757,'[1]Data Export (2)'!$B:$B,0),11)</f>
        <v>Autres dettes</v>
      </c>
    </row>
    <row r="758" spans="1:5">
      <c r="A758" t="s">
        <v>2423</v>
      </c>
      <c r="B758" t="s">
        <v>2424</v>
      </c>
      <c r="C758" t="s">
        <v>2425</v>
      </c>
      <c r="D758" s="2" t="n">
        <v>446000</v>
      </c>
      <c r="E758" t="str">
        <f aca="1">INDEX('[1]Data Export (2)'!$A:$K,MATCH(A758,'[1]Data Export (2)'!$B:$B,0),11)</f>
        <v>Autres dettes</v>
      </c>
    </row>
    <row r="759" spans="1:5">
      <c r="A759" t="s">
        <v>2426</v>
      </c>
      <c r="B759" t="s">
        <v>2427</v>
      </c>
      <c r="C759" t="s">
        <v>2428</v>
      </c>
      <c r="D759" s="2" t="n">
        <v>447000</v>
      </c>
      <c r="E759" t="str">
        <f aca="1">INDEX('[1]Data Export (2)'!$A:$K,MATCH(A759,'[1]Data Export (2)'!$B:$B,0),11)</f>
        <v>Autres dettes</v>
      </c>
    </row>
    <row r="760" spans="1:5">
      <c r="A760" t="s">
        <v>2429</v>
      </c>
      <c r="B760" t="s">
        <v>2430</v>
      </c>
      <c r="C760" t="s">
        <v>2431</v>
      </c>
      <c r="D760" s="2" t="n">
        <v>447100</v>
      </c>
      <c r="E760" t="str">
        <f aca="1">INDEX('[1]Data Export (2)'!$A:$K,MATCH(A760,'[1]Data Export (2)'!$B:$B,0),11)</f>
        <v>Autres dettes</v>
      </c>
    </row>
    <row r="761" spans="1:5">
      <c r="A761" t="s">
        <v>2432</v>
      </c>
      <c r="B761" t="s">
        <v>2433</v>
      </c>
      <c r="C761" t="s">
        <v>2434</v>
      </c>
      <c r="D761" s="2" t="n">
        <v>447200</v>
      </c>
      <c r="E761" t="str">
        <f aca="1">INDEX('[1]Data Export (2)'!$A:$K,MATCH(A761,'[1]Data Export (2)'!$B:$B,0),11)</f>
        <v>Autres dettes</v>
      </c>
    </row>
    <row r="762" spans="1:5">
      <c r="A762" t="s">
        <v>2435</v>
      </c>
      <c r="B762" t="s">
        <v>2436</v>
      </c>
      <c r="C762" t="s">
        <v>2437</v>
      </c>
      <c r="D762" s="2" t="n">
        <v>447300</v>
      </c>
      <c r="E762" t="str">
        <f aca="1">INDEX('[1]Data Export (2)'!$A:$K,MATCH(A762,'[1]Data Export (2)'!$B:$B,0),11)</f>
        <v>Autres dettes</v>
      </c>
    </row>
    <row r="763" spans="1:5">
      <c r="A763" t="s">
        <v>2438</v>
      </c>
      <c r="B763" t="s">
        <v>2439</v>
      </c>
      <c r="C763" t="s">
        <v>2440</v>
      </c>
      <c r="D763" s="2" t="n">
        <v>447400</v>
      </c>
      <c r="E763" t="str">
        <f aca="1">INDEX('[1]Data Export (2)'!$A:$K,MATCH(A763,'[1]Data Export (2)'!$B:$B,0),11)</f>
        <v>Autres dettes</v>
      </c>
    </row>
    <row r="764" spans="1:5">
      <c r="A764" t="s">
        <v>2441</v>
      </c>
      <c r="B764" t="s">
        <v>2442</v>
      </c>
      <c r="C764" t="s">
        <v>2443</v>
      </c>
      <c r="D764" s="2" t="n">
        <v>447800</v>
      </c>
      <c r="E764" t="str">
        <f aca="1">INDEX('[1]Data Export (2)'!$A:$K,MATCH(A764,'[1]Data Export (2)'!$B:$B,0),11)</f>
        <v>Autres dettes</v>
      </c>
    </row>
    <row r="765" spans="1:4">
      <c r="A765" t="s">
        <v>2444</v>
      </c>
      <c r="B765" t="s">
        <v>2445</v>
      </c>
      <c r="C765" t="s">
        <v>2446</v>
      </c>
      <c r="D765" s="4" t="str">
        <f>RIGHT(LEFT(A765,3),2)</f>
        <v>46</v>
      </c>
    </row>
    <row r="766" spans="1:4">
      <c r="A766" t="s">
        <v>2447</v>
      </c>
      <c r="B766" t="s">
        <v>2448</v>
      </c>
      <c r="C766" t="s">
        <v>2449</v>
      </c>
      <c r="D766" s="4" t="n">
        <v>461</v>
      </c>
    </row>
    <row r="767" spans="1:5">
      <c r="A767" t="s">
        <v>2450</v>
      </c>
      <c r="B767" t="s">
        <v>2451</v>
      </c>
      <c r="C767" t="s">
        <v>2452</v>
      </c>
      <c r="D767" s="2" t="n">
        <v>461100</v>
      </c>
      <c r="E767" t="str">
        <f aca="1">INDEX('[1]Data Export (2)'!$A:$K,MATCH(A767,'[1]Data Export (2)'!$B:$B,0),11)</f>
        <v>Autres dettes</v>
      </c>
    </row>
    <row r="768" spans="1:5">
      <c r="A768" t="s">
        <v>2453</v>
      </c>
      <c r="B768" t="s">
        <v>2454</v>
      </c>
      <c r="C768" t="s">
        <v>2455</v>
      </c>
      <c r="D768" s="2" t="n">
        <v>461200</v>
      </c>
      <c r="E768" t="str">
        <f aca="1">INDEX('[1]Data Export (2)'!$A:$K,MATCH(A768,'[1]Data Export (2)'!$B:$B,0),11)</f>
        <v>Autres dettes</v>
      </c>
    </row>
    <row r="769" spans="1:5">
      <c r="A769" t="s">
        <v>2456</v>
      </c>
      <c r="B769" t="s">
        <v>2457</v>
      </c>
      <c r="C769" t="s">
        <v>2458</v>
      </c>
      <c r="D769" s="2" t="n">
        <v>461500</v>
      </c>
      <c r="E769" t="str">
        <f aca="1">INDEX('[1]Data Export (2)'!$A:$K,MATCH(A769,'[1]Data Export (2)'!$B:$B,0),11)</f>
        <v>Autres dettes</v>
      </c>
    </row>
    <row r="770" spans="1:5">
      <c r="A770" t="s">
        <v>2459</v>
      </c>
      <c r="B770" t="s">
        <v>2460</v>
      </c>
      <c r="C770" t="s">
        <v>2461</v>
      </c>
      <c r="D770" s="2" t="n">
        <v>461600</v>
      </c>
      <c r="E770" t="str">
        <f aca="1">INDEX('[1]Data Export (2)'!$A:$K,MATCH(A770,'[1]Data Export (2)'!$B:$B,0),11)</f>
        <v>Autres dettes</v>
      </c>
    </row>
    <row r="771" spans="1:5">
      <c r="A771" t="s">
        <v>2462</v>
      </c>
      <c r="B771" t="s">
        <v>2463</v>
      </c>
      <c r="C771" t="s">
        <v>2464</v>
      </c>
      <c r="D771" s="2" t="n">
        <v>461700</v>
      </c>
      <c r="E771" t="str">
        <f aca="1">INDEX('[1]Data Export (2)'!$A:$K,MATCH(A771,'[1]Data Export (2)'!$B:$B,0),11)</f>
        <v>Autres dettes</v>
      </c>
    </row>
    <row r="772" spans="1:5">
      <c r="A772" t="s">
        <v>2465</v>
      </c>
      <c r="B772" t="s">
        <v>2466</v>
      </c>
      <c r="C772" t="s">
        <v>2467</v>
      </c>
      <c r="D772" s="2" t="n">
        <v>461900</v>
      </c>
      <c r="E772" t="str">
        <f aca="1">INDEX('[1]Data Export (2)'!$A:$K,MATCH(A772,'[1]Data Export (2)'!$B:$B,0),11)</f>
        <v>Autres dettes</v>
      </c>
    </row>
    <row r="773" spans="1:4">
      <c r="A773" t="s">
        <v>2468</v>
      </c>
      <c r="B773" t="s">
        <v>2469</v>
      </c>
      <c r="C773" t="s">
        <v>2470</v>
      </c>
      <c r="D773" s="4" t="n">
        <v>462</v>
      </c>
    </row>
    <row r="774" spans="1:5">
      <c r="A774" t="s">
        <v>2471</v>
      </c>
      <c r="B774" t="s">
        <v>2472</v>
      </c>
      <c r="C774" t="s">
        <v>2473</v>
      </c>
      <c r="D774" s="2" t="n">
        <v>462100</v>
      </c>
      <c r="E774" t="str">
        <f aca="1">INDEX('[1]Data Export (2)'!$A:$K,MATCH(A774,'[1]Data Export (2)'!$B:$B,0),11)</f>
        <v>Autres dettes</v>
      </c>
    </row>
    <row r="775" spans="1:5">
      <c r="A775" t="s">
        <v>2474</v>
      </c>
      <c r="B775" t="s">
        <v>2475</v>
      </c>
      <c r="C775" t="s">
        <v>2476</v>
      </c>
      <c r="D775" s="2" t="n">
        <v>462600</v>
      </c>
      <c r="E775" t="str">
        <f aca="1">INDEX('[1]Data Export (2)'!$A:$K,MATCH(A775,'[1]Data Export (2)'!$B:$B,0),11)</f>
        <v>Autres dettes</v>
      </c>
    </row>
    <row r="776" spans="1:4">
      <c r="A776" t="s">
        <v>2477</v>
      </c>
      <c r="B776" t="s">
        <v>2478</v>
      </c>
      <c r="C776" t="s">
        <v>2479</v>
      </c>
      <c r="D776" s="4" t="n">
        <v>463</v>
      </c>
    </row>
    <row r="777" spans="1:5">
      <c r="A777" t="s">
        <v>2480</v>
      </c>
      <c r="B777" t="s">
        <v>2481</v>
      </c>
      <c r="C777" t="s">
        <v>2482</v>
      </c>
      <c r="D777" s="2" t="n">
        <v>463100</v>
      </c>
      <c r="E777" t="str">
        <f aca="1">INDEX('[1]Data Export (2)'!$A:$K,MATCH(A777,'[1]Data Export (2)'!$B:$B,0),11)</f>
        <v>Autres dettes</v>
      </c>
    </row>
    <row r="778" spans="1:5">
      <c r="A778" t="s">
        <v>2483</v>
      </c>
      <c r="B778" t="s">
        <v>2484</v>
      </c>
      <c r="C778" t="s">
        <v>2485</v>
      </c>
      <c r="D778" s="2" t="n">
        <v>463600</v>
      </c>
      <c r="E778" t="str">
        <f aca="1">INDEX('[1]Data Export (2)'!$A:$K,MATCH(A778,'[1]Data Export (2)'!$B:$B,0),11)</f>
        <v>Autres dettes</v>
      </c>
    </row>
    <row r="779" spans="1:5">
      <c r="A779" t="s">
        <v>2486</v>
      </c>
      <c r="B779" t="s">
        <v>2487</v>
      </c>
      <c r="C779" t="s">
        <v>2488</v>
      </c>
      <c r="D779" s="2" t="n">
        <v>465000</v>
      </c>
      <c r="E779" t="str">
        <f aca="1">INDEX('[1]Data Export (2)'!$A:$K,MATCH(A779,'[1]Data Export (2)'!$B:$B,0),11)</f>
        <v>Autres dettes</v>
      </c>
    </row>
    <row r="780" spans="1:5">
      <c r="A780" t="s">
        <v>2489</v>
      </c>
      <c r="B780" t="s">
        <v>2490</v>
      </c>
      <c r="C780" t="s">
        <v>2491</v>
      </c>
      <c r="D780" s="2" t="n">
        <v>466000</v>
      </c>
      <c r="E780" t="str">
        <f aca="1">INDEX('[1]Data Export (2)'!$A:$K,MATCH(A780,'[1]Data Export (2)'!$B:$B,0),11)</f>
        <v>Autres dettes</v>
      </c>
    </row>
    <row r="781" spans="1:4">
      <c r="A781" t="s">
        <v>2492</v>
      </c>
      <c r="B781" t="s">
        <v>2493</v>
      </c>
      <c r="C781" t="s">
        <v>2494</v>
      </c>
      <c r="D781" s="4" t="str">
        <f>RIGHT(LEFT(A781,3),2)</f>
        <v>47</v>
      </c>
    </row>
    <row r="782" spans="1:4">
      <c r="A782" t="s">
        <v>2495</v>
      </c>
      <c r="B782" t="s">
        <v>2496</v>
      </c>
      <c r="C782" t="s">
        <v>2497</v>
      </c>
      <c r="D782" s="4" t="n">
        <v>471</v>
      </c>
    </row>
    <row r="783" spans="1:5">
      <c r="A783" t="s">
        <v>2498</v>
      </c>
      <c r="B783" t="s">
        <v>2499</v>
      </c>
      <c r="C783" t="s">
        <v>2500</v>
      </c>
      <c r="D783" s="2" t="n">
        <v>471100</v>
      </c>
      <c r="E783" t="str">
        <f aca="1">INDEX('[1]Data Export (2)'!$A:$K,MATCH(A783,'[1]Data Export (2)'!$B:$B,0),11)</f>
        <v>Autres dettes</v>
      </c>
    </row>
    <row r="784" spans="1:5">
      <c r="A784" t="s">
        <v>2501</v>
      </c>
      <c r="B784" t="s">
        <v>2502</v>
      </c>
      <c r="C784" t="s">
        <v>2503</v>
      </c>
      <c r="D784" s="2" t="n">
        <v>471200</v>
      </c>
      <c r="E784" t="str">
        <f aca="1">INDEX('[1]Data Export (2)'!$A:$K,MATCH(A784,'[1]Data Export (2)'!$B:$B,0),11)</f>
        <v>Autres dettes</v>
      </c>
    </row>
    <row r="785" spans="1:5">
      <c r="A785" t="s">
        <v>2504</v>
      </c>
      <c r="B785" t="s">
        <v>2505</v>
      </c>
      <c r="C785" t="s">
        <v>2506</v>
      </c>
      <c r="D785" s="2" t="n">
        <v>471300</v>
      </c>
      <c r="E785" t="str">
        <f aca="1">INDEX('[1]Data Export (2)'!$A:$K,MATCH(A785,'[1]Data Export (2)'!$B:$B,0),11)</f>
        <v>Autres dettes</v>
      </c>
    </row>
    <row r="786" spans="1:5">
      <c r="A786" t="s">
        <v>2507</v>
      </c>
      <c r="B786" t="s">
        <v>2508</v>
      </c>
      <c r="C786" t="s">
        <v>2509</v>
      </c>
      <c r="D786" s="2" t="n">
        <v>471500</v>
      </c>
      <c r="E786" t="str">
        <f aca="1">INDEX('[1]Data Export (2)'!$A:$K,MATCH(A786,'[1]Data Export (2)'!$B:$B,0),11)</f>
        <v>Autres dettes</v>
      </c>
    </row>
    <row r="787" spans="1:5">
      <c r="A787" t="s">
        <v>2510</v>
      </c>
      <c r="B787" t="s">
        <v>2511</v>
      </c>
      <c r="C787" t="s">
        <v>2512</v>
      </c>
      <c r="D787" s="2" t="n">
        <v>471600</v>
      </c>
      <c r="E787" t="str">
        <f aca="1">INDEX('[1]Data Export (2)'!$A:$K,MATCH(A787,'[1]Data Export (2)'!$B:$B,0),11)</f>
        <v>Autres dettes</v>
      </c>
    </row>
    <row r="788" spans="1:5">
      <c r="A788" t="s">
        <v>2513</v>
      </c>
      <c r="B788" t="s">
        <v>2514</v>
      </c>
      <c r="C788" t="s">
        <v>2515</v>
      </c>
      <c r="D788" s="2" t="n">
        <v>471700</v>
      </c>
      <c r="E788" t="str">
        <f aca="1">INDEX('[1]Data Export (2)'!$A:$K,MATCH(A788,'[1]Data Export (2)'!$B:$B,0),11)</f>
        <v>Autres dettes</v>
      </c>
    </row>
    <row r="789" spans="1:5">
      <c r="A789" t="s">
        <v>2516</v>
      </c>
      <c r="B789" t="s">
        <v>2517</v>
      </c>
      <c r="C789" t="s">
        <v>2518</v>
      </c>
      <c r="D789" s="2" t="n">
        <v>471800</v>
      </c>
      <c r="E789" t="str">
        <f aca="1">INDEX('[1]Data Export (2)'!$A:$K,MATCH(A789,'[1]Data Export (2)'!$B:$B,0),11)</f>
        <v>Autres dettes</v>
      </c>
    </row>
    <row r="790" spans="1:5">
      <c r="A790" t="s">
        <v>2519</v>
      </c>
      <c r="B790" t="s">
        <v>2520</v>
      </c>
      <c r="C790" t="s">
        <v>2521</v>
      </c>
      <c r="D790" s="2" t="n">
        <v>471900</v>
      </c>
      <c r="E790" t="str">
        <f aca="1">INDEX('[1]Data Export (2)'!$A:$K,MATCH(A790,'[1]Data Export (2)'!$B:$B,0),11)</f>
        <v>Autres dettes</v>
      </c>
    </row>
    <row r="791" spans="1:4">
      <c r="A791" t="s">
        <v>2522</v>
      </c>
      <c r="B791" t="s">
        <v>2523</v>
      </c>
      <c r="C791" t="s">
        <v>2524</v>
      </c>
      <c r="D791" s="4" t="n">
        <v>474</v>
      </c>
    </row>
    <row r="792" spans="1:5">
      <c r="A792" t="s">
        <v>2525</v>
      </c>
      <c r="B792" t="s">
        <v>2526</v>
      </c>
      <c r="C792" t="s">
        <v>2527</v>
      </c>
      <c r="D792" s="2" t="n">
        <v>474600</v>
      </c>
      <c r="E792" t="str">
        <f aca="1">INDEX('[1]Data Export (2)'!$A:$K,MATCH(A792,'[1]Data Export (2)'!$B:$B,0),11)</f>
        <v>Autres dettes</v>
      </c>
    </row>
    <row r="793" spans="1:4">
      <c r="A793" t="s">
        <v>2528</v>
      </c>
      <c r="B793" t="s">
        <v>2529</v>
      </c>
      <c r="C793" t="s">
        <v>2530</v>
      </c>
      <c r="D793" s="4" t="n">
        <v>475</v>
      </c>
    </row>
    <row r="794" spans="1:5">
      <c r="A794" t="s">
        <v>2531</v>
      </c>
      <c r="B794" t="s">
        <v>2532</v>
      </c>
      <c r="C794" t="s">
        <v>2533</v>
      </c>
      <c r="D794" s="2" t="n">
        <v>475200</v>
      </c>
      <c r="E794" t="str">
        <f aca="1">INDEX('[1]Data Export (2)'!$A:$K,MATCH(A794,'[1]Data Export (2)'!$B:$B,0),11)</f>
        <v>Autres dettes</v>
      </c>
    </row>
    <row r="795" spans="1:5">
      <c r="A795" t="s">
        <v>2534</v>
      </c>
      <c r="B795" t="s">
        <v>2535</v>
      </c>
      <c r="C795" t="s">
        <v>2536</v>
      </c>
      <c r="D795" s="2" t="n">
        <v>477000</v>
      </c>
      <c r="E795" t="str">
        <f aca="1">INDEX('[1]Data Export (2)'!$A:$K,MATCH(A795,'[1]Data Export (2)'!$B:$B,0),11)</f>
        <v>Autres dettes</v>
      </c>
    </row>
    <row r="796" spans="1:4">
      <c r="A796" t="s">
        <v>2537</v>
      </c>
      <c r="B796" t="s">
        <v>2538</v>
      </c>
      <c r="C796" t="s">
        <v>2539</v>
      </c>
      <c r="D796" s="4" t="n">
        <v>479</v>
      </c>
    </row>
    <row r="797" spans="1:5">
      <c r="A797" t="s">
        <v>2540</v>
      </c>
      <c r="B797" t="s">
        <v>2541</v>
      </c>
      <c r="C797" t="s">
        <v>2542</v>
      </c>
      <c r="D797" s="2" t="n">
        <v>479100</v>
      </c>
      <c r="E797" t="str">
        <f aca="1">INDEX('[1]Data Export (2)'!$A:$K,MATCH(A797,'[1]Data Export (2)'!$B:$B,0),11)</f>
        <v>Ecart de conversion - passif </v>
      </c>
    </row>
    <row r="798" spans="1:5">
      <c r="A798" t="s">
        <v>2543</v>
      </c>
      <c r="B798" t="s">
        <v>2544</v>
      </c>
      <c r="C798" t="s">
        <v>2545</v>
      </c>
      <c r="D798" s="2" t="n">
        <v>479200</v>
      </c>
      <c r="E798" t="str">
        <f aca="1">INDEX('[1]Data Export (2)'!$A:$K,MATCH(A798,'[1]Data Export (2)'!$B:$B,0),11)</f>
        <v>Ecart de conversion - passif </v>
      </c>
    </row>
    <row r="799" spans="1:5">
      <c r="A799" t="s">
        <v>2546</v>
      </c>
      <c r="B799" t="s">
        <v>2547</v>
      </c>
      <c r="C799" t="s">
        <v>2548</v>
      </c>
      <c r="D799" s="2" t="n">
        <v>479300</v>
      </c>
      <c r="E799" t="str">
        <f aca="1">INDEX('[1]Data Export (2)'!$A:$K,MATCH(A799,'[1]Data Export (2)'!$B:$B,0),11)</f>
        <v>Ecart de conversion - passif </v>
      </c>
    </row>
    <row r="800" spans="1:5">
      <c r="A800" t="s">
        <v>2549</v>
      </c>
      <c r="B800" t="s">
        <v>2550</v>
      </c>
      <c r="C800" t="s">
        <v>2551</v>
      </c>
      <c r="D800" s="2" t="n">
        <v>479400</v>
      </c>
      <c r="E800" t="str">
        <f aca="1">INDEX('[1]Data Export (2)'!$A:$K,MATCH(A800,'[1]Data Export (2)'!$B:$B,0),11)</f>
        <v>Ecart de conversion - passif </v>
      </c>
    </row>
    <row r="801" spans="1:5">
      <c r="A801" t="s">
        <v>2552</v>
      </c>
      <c r="B801" t="s">
        <v>2553</v>
      </c>
      <c r="C801" t="s">
        <v>2554</v>
      </c>
      <c r="D801" s="2" t="n">
        <v>479700</v>
      </c>
      <c r="E801" t="str">
        <f aca="1">INDEX('[1]Data Export (2)'!$A:$K,MATCH(A801,'[1]Data Export (2)'!$B:$B,0),11)</f>
        <v>Ecart de conversion - passif </v>
      </c>
    </row>
    <row r="802" spans="1:5">
      <c r="A802" t="s">
        <v>2555</v>
      </c>
      <c r="B802" t="s">
        <v>2556</v>
      </c>
      <c r="C802" t="s">
        <v>2557</v>
      </c>
      <c r="D802" s="2" t="n">
        <v>479800</v>
      </c>
      <c r="E802" t="str">
        <f aca="1">INDEX('[1]Data Export (2)'!$A:$K,MATCH(A802,'[1]Data Export (2)'!$B:$B,0),11)</f>
        <v>Ecart de conversion - passif </v>
      </c>
    </row>
    <row r="803" spans="1:4">
      <c r="A803" t="s">
        <v>2558</v>
      </c>
      <c r="B803" t="s">
        <v>2559</v>
      </c>
      <c r="C803" t="s">
        <v>2560</v>
      </c>
      <c r="D803" s="4" t="str">
        <f>RIGHT(LEFT(A803,3),2)</f>
        <v>48</v>
      </c>
    </row>
    <row r="804" spans="1:5">
      <c r="A804" t="s">
        <v>2561</v>
      </c>
      <c r="B804" t="s">
        <v>2562</v>
      </c>
      <c r="C804" t="s">
        <v>2563</v>
      </c>
      <c r="D804" s="2" t="n">
        <v>481000</v>
      </c>
      <c r="E804" t="str">
        <f aca="1">INDEX('[1]Data Export (2)'!$A:$K,MATCH(A804,'[1]Data Export (2)'!$B:$B,0),11)</f>
        <v>Dettes circulantes H.A.O </v>
      </c>
    </row>
    <row r="805" spans="1:5">
      <c r="A805" t="s">
        <v>2564</v>
      </c>
      <c r="B805" t="s">
        <v>2565</v>
      </c>
      <c r="C805" t="s">
        <v>2566</v>
      </c>
      <c r="D805" s="2" t="n">
        <v>481100</v>
      </c>
      <c r="E805" t="str">
        <f aca="1">INDEX('[1]Data Export (2)'!$A:$K,MATCH(A805,'[1]Data Export (2)'!$B:$B,0),11)</f>
        <v>Dettes circulantes H.A.O </v>
      </c>
    </row>
    <row r="806" spans="1:5">
      <c r="A806" t="s">
        <v>2567</v>
      </c>
      <c r="B806" t="s">
        <v>2568</v>
      </c>
      <c r="C806" t="s">
        <v>2569</v>
      </c>
      <c r="D806" s="2" t="n">
        <v>481200</v>
      </c>
      <c r="E806" t="str">
        <f aca="1">INDEX('[1]Data Export (2)'!$A:$K,MATCH(A806,'[1]Data Export (2)'!$B:$B,0),11)</f>
        <v>Dettes circulantes H.A.O </v>
      </c>
    </row>
    <row r="807" spans="1:5">
      <c r="A807" t="s">
        <v>2570</v>
      </c>
      <c r="B807" t="s">
        <v>2571</v>
      </c>
      <c r="C807" t="s">
        <v>2572</v>
      </c>
      <c r="D807" s="2" t="n">
        <v>481300</v>
      </c>
      <c r="E807" t="str">
        <f aca="1">INDEX('[1]Data Export (2)'!$A:$K,MATCH(A807,'[1]Data Export (2)'!$B:$B,0),11)</f>
        <v>Dettes circulantes H.A.O </v>
      </c>
    </row>
    <row r="808" spans="1:5">
      <c r="A808" t="s">
        <v>2573</v>
      </c>
      <c r="B808" t="s">
        <v>2574</v>
      </c>
      <c r="C808" t="s">
        <v>2575</v>
      </c>
      <c r="D808" s="2" t="n">
        <v>481600</v>
      </c>
      <c r="E808" t="str">
        <f aca="1">INDEX('[1]Data Export (2)'!$A:$K,MATCH(A808,'[1]Data Export (2)'!$B:$B,0),11)</f>
        <v>Dettes circulantes H.A.O </v>
      </c>
    </row>
    <row r="809" spans="1:5">
      <c r="A809" t="s">
        <v>2576</v>
      </c>
      <c r="B809" t="s">
        <v>2577</v>
      </c>
      <c r="C809" t="s">
        <v>2578</v>
      </c>
      <c r="D809" s="2" t="n">
        <v>481700</v>
      </c>
      <c r="E809" t="str">
        <f aca="1">INDEX('[1]Data Export (2)'!$A:$K,MATCH(A809,'[1]Data Export (2)'!$B:$B,0),11)</f>
        <v>Dettes circulantes H.A.O </v>
      </c>
    </row>
    <row r="810" spans="1:5">
      <c r="A810" t="s">
        <v>2579</v>
      </c>
      <c r="B810" t="s">
        <v>2580</v>
      </c>
      <c r="C810" t="s">
        <v>2581</v>
      </c>
      <c r="D810" s="2" t="n">
        <v>481800</v>
      </c>
      <c r="E810" t="str">
        <f aca="1">INDEX('[1]Data Export (2)'!$A:$K,MATCH(A810,'[1]Data Export (2)'!$B:$B,0),11)</f>
        <v>Dettes circulantes H.A.O </v>
      </c>
    </row>
    <row r="811" spans="1:5">
      <c r="A811" t="s">
        <v>2582</v>
      </c>
      <c r="B811" t="s">
        <v>2583</v>
      </c>
      <c r="C811" t="s">
        <v>2584</v>
      </c>
      <c r="D811" s="2" t="n">
        <v>482000</v>
      </c>
      <c r="E811" t="str">
        <f aca="1">INDEX('[1]Data Export (2)'!$A:$K,MATCH(A811,'[1]Data Export (2)'!$B:$B,0),11)</f>
        <v>Dettes circulantes H.A.O </v>
      </c>
    </row>
    <row r="812" spans="1:5">
      <c r="A812" t="s">
        <v>2585</v>
      </c>
      <c r="B812" t="s">
        <v>2586</v>
      </c>
      <c r="C812" t="s">
        <v>2587</v>
      </c>
      <c r="D812" s="2" t="n">
        <v>482100</v>
      </c>
      <c r="E812" t="str">
        <f aca="1">INDEX('[1]Data Export (2)'!$A:$K,MATCH(A812,'[1]Data Export (2)'!$B:$B,0),11)</f>
        <v>Dettes circulantes H.A.O </v>
      </c>
    </row>
    <row r="813" spans="1:5">
      <c r="A813" t="s">
        <v>2588</v>
      </c>
      <c r="B813" t="s">
        <v>2589</v>
      </c>
      <c r="C813" t="s">
        <v>2590</v>
      </c>
      <c r="D813" s="2" t="n">
        <v>482200</v>
      </c>
      <c r="E813" t="str">
        <f aca="1">INDEX('[1]Data Export (2)'!$A:$K,MATCH(A813,'[1]Data Export (2)'!$B:$B,0),11)</f>
        <v>Dettes circulantes H.A.O </v>
      </c>
    </row>
    <row r="814" spans="1:5">
      <c r="A814" t="s">
        <v>2591</v>
      </c>
      <c r="B814" t="s">
        <v>2592</v>
      </c>
      <c r="C814" t="s">
        <v>2593</v>
      </c>
      <c r="D814" s="2" t="n">
        <v>484000</v>
      </c>
      <c r="E814" t="str">
        <f aca="1">INDEX('[1]Data Export (2)'!$A:$K,MATCH(A814,'[1]Data Export (2)'!$B:$B,0),11)</f>
        <v>Dettes circulantes H.A.O </v>
      </c>
    </row>
    <row r="815" spans="1:5">
      <c r="A815" t="s">
        <v>2594</v>
      </c>
      <c r="B815" t="s">
        <v>2595</v>
      </c>
      <c r="C815" t="s">
        <v>2596</v>
      </c>
      <c r="D815" s="2" t="n">
        <v>488700</v>
      </c>
      <c r="E815" t="str">
        <f aca="1">INDEX('[1]Data Export (2)'!$A:$K,MATCH(A815,'[1]Data Export (2)'!$B:$B,0),11)</f>
        <v>Dettes circulantes H.A.O </v>
      </c>
    </row>
    <row r="816" spans="1:6">
      <c r="A816" t="s">
        <v>2597</v>
      </c>
      <c r="B816" t="s">
        <v>2598</v>
      </c>
      <c r="C816" t="s">
        <v>2599</v>
      </c>
      <c r="F816" t="s">
        <v>2600</v>
      </c>
    </row>
    <row r="817" spans="1:6">
      <c r="A817" t="s">
        <v>2601</v>
      </c>
      <c r="B817" t="s">
        <v>2602</v>
      </c>
      <c r="C817" t="s">
        <v>2603</v>
      </c>
      <c r="F817" t="s">
        <v>2604</v>
      </c>
    </row>
    <row r="818" spans="1:4">
      <c r="A818" t="s">
        <v>2605</v>
      </c>
      <c r="B818" t="s">
        <v>2606</v>
      </c>
      <c r="D818" s="2" t="n">
        <v>5</v>
      </c>
    </row>
    <row r="819" spans="1:4">
      <c r="A819" t="s">
        <v>2607</v>
      </c>
      <c r="B819" t="s">
        <v>2608</v>
      </c>
      <c r="C819" t="s">
        <v>2609</v>
      </c>
      <c r="D819" s="2" t="n">
        <v>50</v>
      </c>
    </row>
    <row r="820" spans="1:5">
      <c r="A820" t="s">
        <v>2610</v>
      </c>
      <c r="B820" t="s">
        <v>2611</v>
      </c>
      <c r="C820" t="s">
        <v>2612</v>
      </c>
      <c r="D820" s="2" t="n">
        <v>501000</v>
      </c>
      <c r="E820" t="str">
        <f aca="1">INDEX('[1]Data Export (2)'!$A:$K,MATCH(A820,'[1]Data Export (2)'!$B:$B,0),11)</f>
        <v>Titres de placement</v>
      </c>
    </row>
    <row r="821" spans="1:5">
      <c r="A821" t="s">
        <v>2613</v>
      </c>
      <c r="B821" t="s">
        <v>2614</v>
      </c>
      <c r="C821" t="s">
        <v>2615</v>
      </c>
      <c r="D821" s="2" t="n">
        <v>501100</v>
      </c>
      <c r="E821" t="str">
        <f aca="1">INDEX('[1]Data Export (2)'!$A:$K,MATCH(A821,'[1]Data Export (2)'!$B:$B,0),11)</f>
        <v>Titres de placement</v>
      </c>
    </row>
    <row r="822" spans="1:5">
      <c r="A822" t="s">
        <v>2616</v>
      </c>
      <c r="B822" t="s">
        <v>2617</v>
      </c>
      <c r="C822" t="s">
        <v>2618</v>
      </c>
      <c r="D822" s="2" t="n">
        <v>501200</v>
      </c>
      <c r="E822" t="str">
        <f aca="1">INDEX('[1]Data Export (2)'!$A:$K,MATCH(A822,'[1]Data Export (2)'!$B:$B,0),11)</f>
        <v>Titres de placement</v>
      </c>
    </row>
    <row r="823" spans="1:5">
      <c r="A823" t="s">
        <v>2619</v>
      </c>
      <c r="B823" t="s">
        <v>2620</v>
      </c>
      <c r="C823" t="s">
        <v>2621</v>
      </c>
      <c r="D823" s="2" t="n">
        <v>501300</v>
      </c>
      <c r="E823" t="str">
        <f aca="1">INDEX('[1]Data Export (2)'!$A:$K,MATCH(A823,'[1]Data Export (2)'!$B:$B,0),11)</f>
        <v>Titres de placement</v>
      </c>
    </row>
    <row r="824" spans="1:5">
      <c r="A824" t="s">
        <v>2622</v>
      </c>
      <c r="B824" t="s">
        <v>2623</v>
      </c>
      <c r="C824" t="s">
        <v>2624</v>
      </c>
      <c r="D824" s="2" t="n">
        <v>501600</v>
      </c>
      <c r="E824" t="str">
        <f aca="1">INDEX('[1]Data Export (2)'!$A:$K,MATCH(A824,'[1]Data Export (2)'!$B:$B,0),11)</f>
        <v>Titres de placement</v>
      </c>
    </row>
    <row r="825" spans="1:5">
      <c r="A825" t="s">
        <v>2625</v>
      </c>
      <c r="B825" t="s">
        <v>2626</v>
      </c>
      <c r="C825" t="s">
        <v>2627</v>
      </c>
      <c r="D825" s="2" t="n">
        <v>502000</v>
      </c>
      <c r="E825" t="str">
        <f aca="1">INDEX('[1]Data Export (2)'!$A:$K,MATCH(A825,'[1]Data Export (2)'!$B:$B,0),11)</f>
        <v>Titres de placement</v>
      </c>
    </row>
    <row r="826" spans="1:5">
      <c r="A826" t="s">
        <v>2628</v>
      </c>
      <c r="B826" t="s">
        <v>2629</v>
      </c>
      <c r="C826" t="s">
        <v>2630</v>
      </c>
      <c r="D826" s="2" t="n">
        <v>502100</v>
      </c>
      <c r="E826" t="str">
        <f aca="1">INDEX('[1]Data Export (2)'!$A:$K,MATCH(A826,'[1]Data Export (2)'!$B:$B,0),11)</f>
        <v>Titres de placement</v>
      </c>
    </row>
    <row r="827" spans="1:5">
      <c r="A827" t="s">
        <v>2631</v>
      </c>
      <c r="B827" t="s">
        <v>2632</v>
      </c>
      <c r="C827" t="s">
        <v>2633</v>
      </c>
      <c r="D827" s="2" t="n">
        <v>502200</v>
      </c>
      <c r="E827" t="str">
        <f aca="1">INDEX('[1]Data Export (2)'!$A:$K,MATCH(A827,'[1]Data Export (2)'!$B:$B,0),11)</f>
        <v>Titres de placement</v>
      </c>
    </row>
    <row r="828" spans="1:5">
      <c r="A828" t="s">
        <v>2634</v>
      </c>
      <c r="B828" t="s">
        <v>2635</v>
      </c>
      <c r="C828" t="s">
        <v>2636</v>
      </c>
      <c r="D828" s="2" t="n">
        <v>502300</v>
      </c>
      <c r="E828" t="str">
        <f aca="1">INDEX('[1]Data Export (2)'!$A:$K,MATCH(A828,'[1]Data Export (2)'!$B:$B,0),11)</f>
        <v>Titres de placement</v>
      </c>
    </row>
    <row r="829" spans="1:5">
      <c r="A829" t="s">
        <v>2637</v>
      </c>
      <c r="B829" t="s">
        <v>2638</v>
      </c>
      <c r="C829" t="s">
        <v>2639</v>
      </c>
      <c r="D829" s="2" t="n">
        <v>502400</v>
      </c>
      <c r="E829" t="str">
        <f aca="1">INDEX('[1]Data Export (2)'!$A:$K,MATCH(A829,'[1]Data Export (2)'!$B:$B,0),11)</f>
        <v>Titres de placement</v>
      </c>
    </row>
    <row r="830" spans="1:5">
      <c r="A830" t="s">
        <v>2640</v>
      </c>
      <c r="B830" t="s">
        <v>2641</v>
      </c>
      <c r="C830" t="s">
        <v>2642</v>
      </c>
      <c r="D830" s="2" t="n">
        <v>502500</v>
      </c>
      <c r="E830" t="str">
        <f aca="1">INDEX('[1]Data Export (2)'!$A:$K,MATCH(A830,'[1]Data Export (2)'!$B:$B,0),11)</f>
        <v>Titres de placement</v>
      </c>
    </row>
    <row r="831" spans="1:5">
      <c r="A831" t="s">
        <v>2643</v>
      </c>
      <c r="B831" t="s">
        <v>2644</v>
      </c>
      <c r="C831" t="s">
        <v>2645</v>
      </c>
      <c r="D831" s="2" t="n">
        <v>502600</v>
      </c>
      <c r="E831" t="str">
        <f aca="1">INDEX('[1]Data Export (2)'!$A:$K,MATCH(A831,'[1]Data Export (2)'!$B:$B,0),11)</f>
        <v>Titres de placement</v>
      </c>
    </row>
    <row r="832" spans="1:5">
      <c r="A832" t="s">
        <v>2646</v>
      </c>
      <c r="B832" t="s">
        <v>2647</v>
      </c>
      <c r="C832" t="s">
        <v>2648</v>
      </c>
      <c r="D832" s="2" t="n">
        <v>503000</v>
      </c>
      <c r="E832" t="str">
        <f aca="1">INDEX('[1]Data Export (2)'!$A:$K,MATCH(A832,'[1]Data Export (2)'!$B:$B,0),11)</f>
        <v>Titres de placement</v>
      </c>
    </row>
    <row r="833" spans="1:5">
      <c r="A833" t="s">
        <v>2649</v>
      </c>
      <c r="B833" t="s">
        <v>2650</v>
      </c>
      <c r="C833" t="s">
        <v>2651</v>
      </c>
      <c r="D833" s="2" t="n">
        <v>503100</v>
      </c>
      <c r="E833" t="str">
        <f aca="1">INDEX('[1]Data Export (2)'!$A:$K,MATCH(A833,'[1]Data Export (2)'!$B:$B,0),11)</f>
        <v>Titres de placement</v>
      </c>
    </row>
    <row r="834" spans="1:5">
      <c r="A834" t="s">
        <v>2652</v>
      </c>
      <c r="B834" t="s">
        <v>2653</v>
      </c>
      <c r="C834" t="s">
        <v>2654</v>
      </c>
      <c r="D834" s="2" t="n">
        <v>503200</v>
      </c>
      <c r="E834" t="str">
        <f aca="1">INDEX('[1]Data Export (2)'!$A:$K,MATCH(A834,'[1]Data Export (2)'!$B:$B,0),11)</f>
        <v>Titres de placement</v>
      </c>
    </row>
    <row r="835" spans="1:5">
      <c r="A835" t="s">
        <v>2655</v>
      </c>
      <c r="B835" t="s">
        <v>2656</v>
      </c>
      <c r="C835" t="s">
        <v>2657</v>
      </c>
      <c r="D835" s="2" t="n">
        <v>503300</v>
      </c>
      <c r="E835" t="str">
        <f aca="1">INDEX('[1]Data Export (2)'!$A:$K,MATCH(A835,'[1]Data Export (2)'!$B:$B,0),11)</f>
        <v>Titres de placement</v>
      </c>
    </row>
    <row r="836" spans="1:5">
      <c r="A836" t="s">
        <v>2658</v>
      </c>
      <c r="B836" t="s">
        <v>2659</v>
      </c>
      <c r="C836" t="s">
        <v>2660</v>
      </c>
      <c r="D836" s="2" t="n">
        <v>503500</v>
      </c>
      <c r="E836" t="str">
        <f aca="1">INDEX('[1]Data Export (2)'!$A:$K,MATCH(A836,'[1]Data Export (2)'!$B:$B,0),11)</f>
        <v>Titres de placement</v>
      </c>
    </row>
    <row r="837" spans="1:5">
      <c r="A837" t="s">
        <v>2661</v>
      </c>
      <c r="B837" t="s">
        <v>2662</v>
      </c>
      <c r="C837" t="s">
        <v>2663</v>
      </c>
      <c r="D837" s="2" t="n">
        <v>503600</v>
      </c>
      <c r="E837" t="str">
        <f aca="1">INDEX('[1]Data Export (2)'!$A:$K,MATCH(A837,'[1]Data Export (2)'!$B:$B,0),11)</f>
        <v>Titres de placement</v>
      </c>
    </row>
    <row r="838" spans="1:5">
      <c r="A838" t="s">
        <v>2664</v>
      </c>
      <c r="B838" t="s">
        <v>2665</v>
      </c>
      <c r="C838" t="s">
        <v>2666</v>
      </c>
      <c r="D838" s="2" t="n">
        <v>504000</v>
      </c>
      <c r="E838" t="str">
        <f aca="1">INDEX('[1]Data Export (2)'!$A:$K,MATCH(A838,'[1]Data Export (2)'!$B:$B,0),11)</f>
        <v>Titres de placement</v>
      </c>
    </row>
    <row r="839" spans="1:5">
      <c r="A839" t="s">
        <v>2667</v>
      </c>
      <c r="B839" t="s">
        <v>2668</v>
      </c>
      <c r="C839" t="s">
        <v>2669</v>
      </c>
      <c r="D839" s="2" t="n">
        <v>504200</v>
      </c>
      <c r="E839" t="str">
        <f aca="1">INDEX('[1]Data Export (2)'!$A:$K,MATCH(A839,'[1]Data Export (2)'!$B:$B,0),11)</f>
        <v>Titres de placement</v>
      </c>
    </row>
    <row r="840" spans="1:5">
      <c r="A840" t="s">
        <v>2670</v>
      </c>
      <c r="B840" t="s">
        <v>2671</v>
      </c>
      <c r="C840" t="s">
        <v>2672</v>
      </c>
      <c r="D840" s="2" t="n">
        <v>504300</v>
      </c>
      <c r="E840" t="str">
        <f aca="1">INDEX('[1]Data Export (2)'!$A:$K,MATCH(A840,'[1]Data Export (2)'!$B:$B,0),11)</f>
        <v>Titres de placement</v>
      </c>
    </row>
    <row r="841" spans="1:5">
      <c r="A841" t="s">
        <v>2673</v>
      </c>
      <c r="B841" t="s">
        <v>2674</v>
      </c>
      <c r="C841" t="s">
        <v>2675</v>
      </c>
      <c r="D841" s="2" t="n">
        <v>505000</v>
      </c>
      <c r="E841" t="str">
        <f aca="1">INDEX('[1]Data Export (2)'!$A:$K,MATCH(A841,'[1]Data Export (2)'!$B:$B,0),11)</f>
        <v>Titres de placement</v>
      </c>
    </row>
    <row r="842" spans="1:5">
      <c r="A842" t="s">
        <v>2676</v>
      </c>
      <c r="B842" t="s">
        <v>2677</v>
      </c>
      <c r="C842" t="s">
        <v>2678</v>
      </c>
      <c r="D842" s="2" t="n">
        <v>506000</v>
      </c>
      <c r="E842" t="str">
        <f aca="1">INDEX('[1]Data Export (2)'!$A:$K,MATCH(A842,'[1]Data Export (2)'!$B:$B,0),11)</f>
        <v>Titres de placement</v>
      </c>
    </row>
    <row r="843" spans="1:5">
      <c r="A843" t="s">
        <v>2679</v>
      </c>
      <c r="B843" t="s">
        <v>2680</v>
      </c>
      <c r="C843" t="s">
        <v>2681</v>
      </c>
      <c r="D843" s="2" t="n">
        <v>506100</v>
      </c>
      <c r="E843" t="str">
        <f aca="1">INDEX('[1]Data Export (2)'!$A:$K,MATCH(A843,'[1]Data Export (2)'!$B:$B,0),11)</f>
        <v>Titres de placement</v>
      </c>
    </row>
    <row r="844" spans="1:5">
      <c r="A844" t="s">
        <v>2682</v>
      </c>
      <c r="B844" t="s">
        <v>2683</v>
      </c>
      <c r="C844" t="s">
        <v>2684</v>
      </c>
      <c r="D844" s="2" t="n">
        <v>506200</v>
      </c>
      <c r="E844" t="str">
        <f aca="1">INDEX('[1]Data Export (2)'!$A:$K,MATCH(A844,'[1]Data Export (2)'!$B:$B,0),11)</f>
        <v>Titres de placement</v>
      </c>
    </row>
    <row r="845" spans="1:5">
      <c r="A845" t="s">
        <v>2685</v>
      </c>
      <c r="B845" t="s">
        <v>2686</v>
      </c>
      <c r="C845" t="s">
        <v>2687</v>
      </c>
      <c r="D845" s="2" t="n">
        <v>506300</v>
      </c>
      <c r="E845" t="str">
        <f aca="1">INDEX('[1]Data Export (2)'!$A:$K,MATCH(A845,'[1]Data Export (2)'!$B:$B,0),11)</f>
        <v>Titres de placement</v>
      </c>
    </row>
    <row r="846" spans="1:5">
      <c r="A846" t="s">
        <v>2688</v>
      </c>
      <c r="B846" t="s">
        <v>2689</v>
      </c>
      <c r="C846" t="s">
        <v>2690</v>
      </c>
      <c r="D846" s="2" t="n">
        <v>508000</v>
      </c>
      <c r="E846" t="str">
        <f aca="1">INDEX('[1]Data Export (2)'!$A:$K,MATCH(A846,'[1]Data Export (2)'!$B:$B,0),11)</f>
        <v>Titres de placement</v>
      </c>
    </row>
    <row r="847" spans="1:4">
      <c r="A847" t="s">
        <v>2691</v>
      </c>
      <c r="B847" t="s">
        <v>2692</v>
      </c>
      <c r="C847" t="s">
        <v>2693</v>
      </c>
      <c r="D847" s="2" t="n">
        <v>51</v>
      </c>
    </row>
    <row r="848" spans="1:5">
      <c r="A848" t="s">
        <v>2694</v>
      </c>
      <c r="B848" t="s">
        <v>2695</v>
      </c>
      <c r="C848" t="s">
        <v>2696</v>
      </c>
      <c r="D848" s="2" t="n">
        <v>511000</v>
      </c>
      <c r="E848" t="str">
        <f aca="1">INDEX('[1]Data Export (2)'!$A:$K,MATCH(A848,'[1]Data Export (2)'!$B:$B,0),11)</f>
        <v>Valeurs à encaisser</v>
      </c>
    </row>
    <row r="849" spans="1:5">
      <c r="A849" t="s">
        <v>2697</v>
      </c>
      <c r="B849" t="s">
        <v>2698</v>
      </c>
      <c r="C849" t="s">
        <v>2699</v>
      </c>
      <c r="D849" s="2" t="n">
        <v>512000</v>
      </c>
      <c r="E849" t="str">
        <f aca="1">INDEX('[1]Data Export (2)'!$A:$K,MATCH(A849,'[1]Data Export (2)'!$B:$B,0),11)</f>
        <v>Valeurs à encaisser</v>
      </c>
    </row>
    <row r="850" spans="1:5">
      <c r="A850" t="s">
        <v>2700</v>
      </c>
      <c r="B850" t="s">
        <v>2701</v>
      </c>
      <c r="C850" t="s">
        <v>2702</v>
      </c>
      <c r="D850" s="2" t="n">
        <v>513000</v>
      </c>
      <c r="E850" t="str">
        <f aca="1">INDEX('[1]Data Export (2)'!$A:$K,MATCH(A850,'[1]Data Export (2)'!$B:$B,0),11)</f>
        <v>Valeurs à encaisser</v>
      </c>
    </row>
    <row r="851" spans="1:5">
      <c r="A851" t="s">
        <v>2703</v>
      </c>
      <c r="B851" t="s">
        <v>2704</v>
      </c>
      <c r="C851" t="s">
        <v>2705</v>
      </c>
      <c r="D851" s="2" t="n">
        <v>514000</v>
      </c>
      <c r="E851" t="str">
        <f aca="1">INDEX('[1]Data Export (2)'!$A:$K,MATCH(A851,'[1]Data Export (2)'!$B:$B,0),11)</f>
        <v>Valeurs à encaisser</v>
      </c>
    </row>
    <row r="852" spans="1:5">
      <c r="A852" t="s">
        <v>2706</v>
      </c>
      <c r="B852" t="s">
        <v>2707</v>
      </c>
      <c r="C852" t="s">
        <v>2708</v>
      </c>
      <c r="D852" s="2" t="n">
        <v>515000</v>
      </c>
      <c r="E852" t="str">
        <f aca="1">INDEX('[1]Data Export (2)'!$A:$K,MATCH(A852,'[1]Data Export (2)'!$B:$B,0),11)</f>
        <v>Valeurs à encaisser</v>
      </c>
    </row>
    <row r="853" spans="1:5">
      <c r="A853" t="s">
        <v>2709</v>
      </c>
      <c r="B853" t="s">
        <v>2710</v>
      </c>
      <c r="C853" t="s">
        <v>2711</v>
      </c>
      <c r="D853" s="2" t="n">
        <v>518000</v>
      </c>
      <c r="E853" t="str">
        <f aca="1">INDEX('[1]Data Export (2)'!$A:$K,MATCH(A853,'[1]Data Export (2)'!$B:$B,0),11)</f>
        <v>Valeurs à encaisser</v>
      </c>
    </row>
    <row r="854" spans="1:5">
      <c r="A854" t="s">
        <v>2712</v>
      </c>
      <c r="B854" t="s">
        <v>2713</v>
      </c>
      <c r="C854" t="s">
        <v>2714</v>
      </c>
      <c r="D854" s="2" t="n">
        <v>518100</v>
      </c>
      <c r="E854" t="str">
        <f aca="1">INDEX('[1]Data Export (2)'!$A:$K,MATCH(A854,'[1]Data Export (2)'!$B:$B,0),11)</f>
        <v>Valeurs à encaisser</v>
      </c>
    </row>
    <row r="855" spans="1:5">
      <c r="A855" t="s">
        <v>2715</v>
      </c>
      <c r="B855" t="s">
        <v>2716</v>
      </c>
      <c r="C855" t="s">
        <v>2717</v>
      </c>
      <c r="D855" s="2" t="n">
        <v>518200</v>
      </c>
      <c r="E855" t="str">
        <f aca="1">INDEX('[1]Data Export (2)'!$A:$K,MATCH(A855,'[1]Data Export (2)'!$B:$B,0),11)</f>
        <v>Valeurs à encaisser</v>
      </c>
    </row>
    <row r="856" spans="1:5">
      <c r="A856" t="s">
        <v>2718</v>
      </c>
      <c r="B856" t="s">
        <v>2719</v>
      </c>
      <c r="C856" t="s">
        <v>2720</v>
      </c>
      <c r="D856" s="2" t="n">
        <v>518500</v>
      </c>
      <c r="E856" t="str">
        <f aca="1">INDEX('[1]Data Export (2)'!$A:$K,MATCH(A856,'[1]Data Export (2)'!$B:$B,0),11)</f>
        <v>Valeurs à encaisser</v>
      </c>
    </row>
    <row r="857" spans="1:5">
      <c r="A857" t="s">
        <v>2721</v>
      </c>
      <c r="B857" t="s">
        <v>2722</v>
      </c>
      <c r="C857" t="s">
        <v>2723</v>
      </c>
      <c r="D857" s="2" t="n">
        <v>518600</v>
      </c>
      <c r="E857" t="str">
        <f aca="1">INDEX('[1]Data Export (2)'!$A:$K,MATCH(A857,'[1]Data Export (2)'!$B:$B,0),11)</f>
        <v>Valeurs à encaisser</v>
      </c>
    </row>
    <row r="858" spans="1:5">
      <c r="A858" t="s">
        <v>2724</v>
      </c>
      <c r="B858" t="s">
        <v>2725</v>
      </c>
      <c r="C858" t="s">
        <v>2726</v>
      </c>
      <c r="D858" s="2" t="n">
        <v>518700</v>
      </c>
      <c r="E858" t="str">
        <f aca="1">INDEX('[1]Data Export (2)'!$A:$K,MATCH(A858,'[1]Data Export (2)'!$B:$B,0),11)</f>
        <v>Valeurs à encaisser</v>
      </c>
    </row>
    <row r="859" spans="1:4">
      <c r="A859" t="s">
        <v>2727</v>
      </c>
      <c r="B859" t="s">
        <v>2728</v>
      </c>
      <c r="C859" t="s">
        <v>2729</v>
      </c>
      <c r="D859" s="2" t="n">
        <v>52</v>
      </c>
    </row>
    <row r="860" spans="1:6">
      <c r="A860" t="s">
        <v>2730</v>
      </c>
      <c r="B860" t="s">
        <v>2731</v>
      </c>
      <c r="C860" t="s">
        <v>2732</v>
      </c>
      <c r="D860" s="2" t="n">
        <v>521000</v>
      </c>
      <c r="E860" t="str">
        <f aca="1">INDEX('[1]Data Export (2)'!$A:$K,MATCH(A860,'[1]Data Export (2)'!$B:$B,0),11)</f>
        <v>Banques, chèques postaux, caisse</v>
      </c>
      <c r="F860" t="s">
        <v>2733</v>
      </c>
    </row>
    <row r="861" spans="1:6">
      <c r="A861" t="s">
        <v>2734</v>
      </c>
      <c r="B861" t="s">
        <v>2735</v>
      </c>
      <c r="C861" t="s">
        <v>2736</v>
      </c>
      <c r="D861" s="2" t="n">
        <v>521100</v>
      </c>
      <c r="E861" t="str">
        <f aca="1">INDEX('[1]Data Export (2)'!$A:$K,MATCH(A861,'[1]Data Export (2)'!$B:$B,0),11)</f>
        <v>Banques, chèques postaux, caisse</v>
      </c>
      <c r="F861" t="s">
        <v>2737</v>
      </c>
    </row>
    <row r="862" spans="1:6">
      <c r="A862" t="s">
        <v>2738</v>
      </c>
      <c r="B862" t="s">
        <v>2739</v>
      </c>
      <c r="C862" t="s">
        <v>2740</v>
      </c>
      <c r="D862" s="2" t="n">
        <v>521500</v>
      </c>
      <c r="E862" t="str">
        <f aca="1">INDEX('[1]Data Export (2)'!$A:$K,MATCH(A862,'[1]Data Export (2)'!$B:$B,0),11)</f>
        <v>Banques, chèques postaux, caisse</v>
      </c>
      <c r="F862" t="s">
        <v>2741</v>
      </c>
    </row>
    <row r="863" spans="1:5">
      <c r="A863" t="s">
        <v>2742</v>
      </c>
      <c r="B863" t="s">
        <v>2743</v>
      </c>
      <c r="C863" t="s">
        <v>2744</v>
      </c>
      <c r="D863" s="2" t="n">
        <v>522000</v>
      </c>
      <c r="E863" t="str">
        <f aca="1">INDEX('[1]Data Export (2)'!$A:$K,MATCH(A863,'[1]Data Export (2)'!$B:$B,0),11)</f>
        <v>Banques, chèques postaux, caisse</v>
      </c>
    </row>
    <row r="864" spans="1:5">
      <c r="A864" t="s">
        <v>2745</v>
      </c>
      <c r="B864" t="s">
        <v>2746</v>
      </c>
      <c r="C864" t="s">
        <v>2747</v>
      </c>
      <c r="D864" s="2" t="n">
        <v>523000</v>
      </c>
      <c r="E864" t="str">
        <f aca="1">INDEX('[1]Data Export (2)'!$A:$K,MATCH(A864,'[1]Data Export (2)'!$B:$B,0),11)</f>
        <v>Banques, chèques postaux, caisse</v>
      </c>
    </row>
    <row r="865" spans="1:5">
      <c r="A865" t="s">
        <v>2748</v>
      </c>
      <c r="B865" t="s">
        <v>2749</v>
      </c>
      <c r="C865" t="s">
        <v>2750</v>
      </c>
      <c r="D865" s="2" t="n">
        <v>524000</v>
      </c>
      <c r="E865" t="str">
        <f aca="1">INDEX('[1]Data Export (2)'!$A:$K,MATCH(A865,'[1]Data Export (2)'!$B:$B,0),11)</f>
        <v>Banques, chèques postaux, caisse</v>
      </c>
    </row>
    <row r="866" spans="1:5">
      <c r="A866" t="s">
        <v>2751</v>
      </c>
      <c r="B866" t="s">
        <v>2752</v>
      </c>
      <c r="C866" t="s">
        <v>2753</v>
      </c>
      <c r="D866" s="2" t="n">
        <v>525000</v>
      </c>
      <c r="E866" t="str">
        <f aca="1">INDEX('[1]Data Export (2)'!$A:$K,MATCH(A866,'[1]Data Export (2)'!$B:$B,0),11)</f>
        <v>Banques, chèques postaux, caisse</v>
      </c>
    </row>
    <row r="867" spans="1:5">
      <c r="A867" t="s">
        <v>2754</v>
      </c>
      <c r="B867" t="s">
        <v>2755</v>
      </c>
      <c r="C867" t="s">
        <v>2756</v>
      </c>
      <c r="D867" s="2" t="n">
        <v>526000</v>
      </c>
      <c r="E867" t="str">
        <f aca="1">INDEX('[1]Data Export (2)'!$A:$K,MATCH(A867,'[1]Data Export (2)'!$B:$B,0),11)</f>
        <v>Banques, chèques postaux, caisse</v>
      </c>
    </row>
    <row r="868" spans="1:5">
      <c r="A868" t="s">
        <v>2757</v>
      </c>
      <c r="B868" t="s">
        <v>2758</v>
      </c>
      <c r="C868" t="s">
        <v>2759</v>
      </c>
      <c r="D868" s="2" t="n">
        <v>526100</v>
      </c>
      <c r="E868" t="str">
        <f aca="1">INDEX('[1]Data Export (2)'!$A:$K,MATCH(A868,'[1]Data Export (2)'!$B:$B,0),11)</f>
        <v>Banques, chèques postaux, caisse</v>
      </c>
    </row>
    <row r="869" spans="1:5">
      <c r="A869" t="s">
        <v>2760</v>
      </c>
      <c r="B869" t="s">
        <v>2761</v>
      </c>
      <c r="C869" t="s">
        <v>2762</v>
      </c>
      <c r="D869" s="2" t="n">
        <v>526700</v>
      </c>
      <c r="E869" t="str">
        <f aca="1">INDEX('[1]Data Export (2)'!$A:$K,MATCH(A869,'[1]Data Export (2)'!$B:$B,0),11)</f>
        <v>Banques, chèques postaux, caisse</v>
      </c>
    </row>
    <row r="870" spans="1:4">
      <c r="A870" t="s">
        <v>2763</v>
      </c>
      <c r="B870" t="s">
        <v>2764</v>
      </c>
      <c r="C870" t="s">
        <v>2765</v>
      </c>
      <c r="D870" s="2" t="n">
        <v>53</v>
      </c>
    </row>
    <row r="871" spans="1:5">
      <c r="A871" t="s">
        <v>2766</v>
      </c>
      <c r="B871" t="s">
        <v>2767</v>
      </c>
      <c r="C871" t="s">
        <v>2768</v>
      </c>
      <c r="D871" s="2" t="n">
        <v>531000</v>
      </c>
      <c r="E871" t="str">
        <f aca="1">INDEX('[1]Data Export (2)'!$A:$K,MATCH(A871,'[1]Data Export (2)'!$B:$B,0),11)</f>
        <v>Banques, chèques postaux, caisse</v>
      </c>
    </row>
    <row r="872" spans="1:5">
      <c r="A872" t="s">
        <v>2769</v>
      </c>
      <c r="B872" t="s">
        <v>2770</v>
      </c>
      <c r="C872" t="s">
        <v>2771</v>
      </c>
      <c r="D872" s="2" t="n">
        <v>532000</v>
      </c>
      <c r="E872" t="str">
        <f aca="1">INDEX('[1]Data Export (2)'!$A:$K,MATCH(A872,'[1]Data Export (2)'!$B:$B,0),11)</f>
        <v>Banques, chèques postaux, caisse</v>
      </c>
    </row>
    <row r="873" spans="1:5">
      <c r="A873" t="s">
        <v>2772</v>
      </c>
      <c r="B873" t="s">
        <v>2773</v>
      </c>
      <c r="C873" t="s">
        <v>2774</v>
      </c>
      <c r="D873" s="2" t="n">
        <v>533000</v>
      </c>
      <c r="E873" t="str">
        <f aca="1">INDEX('[1]Data Export (2)'!$A:$K,MATCH(A873,'[1]Data Export (2)'!$B:$B,0),11)</f>
        <v>Banques, chèques postaux, caisse</v>
      </c>
    </row>
    <row r="874" spans="1:5">
      <c r="A874" t="s">
        <v>2775</v>
      </c>
      <c r="B874" t="s">
        <v>2776</v>
      </c>
      <c r="C874" t="s">
        <v>2777</v>
      </c>
      <c r="D874" s="2" t="n">
        <v>536000</v>
      </c>
      <c r="E874" t="str">
        <f aca="1">INDEX('[1]Data Export (2)'!$A:$K,MATCH(A874,'[1]Data Export (2)'!$B:$B,0),11)</f>
        <v>Banques, chèques postaux, caisse</v>
      </c>
    </row>
    <row r="875" spans="1:5">
      <c r="A875" t="s">
        <v>2778</v>
      </c>
      <c r="B875" t="s">
        <v>2779</v>
      </c>
      <c r="C875" t="s">
        <v>2780</v>
      </c>
      <c r="D875" s="2" t="n">
        <v>538000</v>
      </c>
      <c r="E875" t="str">
        <f aca="1">INDEX('[1]Data Export (2)'!$A:$K,MATCH(A875,'[1]Data Export (2)'!$B:$B,0),11)</f>
        <v>Banques, chèques postaux, caisse</v>
      </c>
    </row>
    <row r="876" spans="1:4">
      <c r="A876" t="s">
        <v>2781</v>
      </c>
      <c r="B876" t="s">
        <v>2782</v>
      </c>
      <c r="C876" t="s">
        <v>2783</v>
      </c>
      <c r="D876" s="2" t="n">
        <v>54</v>
      </c>
    </row>
    <row r="877" spans="1:5">
      <c r="A877" t="s">
        <v>2784</v>
      </c>
      <c r="B877" t="s">
        <v>2785</v>
      </c>
      <c r="C877" t="s">
        <v>2786</v>
      </c>
      <c r="D877" s="2" t="n">
        <v>541000</v>
      </c>
      <c r="E877" t="str">
        <f aca="1">INDEX('[1]Data Export (2)'!$A:$K,MATCH(A877,'[1]Data Export (2)'!$B:$B,0),11)</f>
        <v>Banques, chèques postaux, caisse</v>
      </c>
    </row>
    <row r="878" spans="1:5">
      <c r="A878" t="s">
        <v>2787</v>
      </c>
      <c r="B878" t="s">
        <v>2788</v>
      </c>
      <c r="C878" t="s">
        <v>2789</v>
      </c>
      <c r="D878" s="2" t="n">
        <v>542000</v>
      </c>
      <c r="E878" t="str">
        <f aca="1">INDEX('[1]Data Export (2)'!$A:$K,MATCH(A878,'[1]Data Export (2)'!$B:$B,0),11)</f>
        <v>Banques, chèques postaux, caisse</v>
      </c>
    </row>
    <row r="879" spans="1:5">
      <c r="A879" t="s">
        <v>2790</v>
      </c>
      <c r="B879" t="s">
        <v>2791</v>
      </c>
      <c r="C879" t="s">
        <v>2792</v>
      </c>
      <c r="D879" s="2" t="n">
        <v>543000</v>
      </c>
      <c r="E879" t="str">
        <f aca="1">INDEX('[1]Data Export (2)'!$A:$K,MATCH(A879,'[1]Data Export (2)'!$B:$B,0),11)</f>
        <v>Banques, chèques postaux, caisse</v>
      </c>
    </row>
    <row r="880" spans="1:5">
      <c r="A880" t="s">
        <v>2793</v>
      </c>
      <c r="B880" t="s">
        <v>2794</v>
      </c>
      <c r="C880" t="s">
        <v>2795</v>
      </c>
      <c r="D880" s="2" t="n">
        <v>544000</v>
      </c>
      <c r="E880" t="str">
        <f aca="1">INDEX('[1]Data Export (2)'!$A:$K,MATCH(A880,'[1]Data Export (2)'!$B:$B,0),11)</f>
        <v>Banques, chèques postaux, caisse</v>
      </c>
    </row>
    <row r="881" spans="1:5">
      <c r="A881" t="s">
        <v>2796</v>
      </c>
      <c r="B881" t="s">
        <v>2797</v>
      </c>
      <c r="C881" t="s">
        <v>2798</v>
      </c>
      <c r="D881" s="2" t="n">
        <v>545000</v>
      </c>
      <c r="E881" t="str">
        <f aca="1">INDEX('[1]Data Export (2)'!$A:$K,MATCH(A881,'[1]Data Export (2)'!$B:$B,0),11)</f>
        <v>Banques, chèques postaux, caisse</v>
      </c>
    </row>
    <row r="882" spans="1:4">
      <c r="A882" t="s">
        <v>2799</v>
      </c>
      <c r="B882" t="s">
        <v>2800</v>
      </c>
      <c r="C882" t="s">
        <v>2801</v>
      </c>
      <c r="D882" s="2" t="n">
        <v>55</v>
      </c>
    </row>
    <row r="883" spans="1:5">
      <c r="A883" t="s">
        <v>2802</v>
      </c>
      <c r="B883" t="s">
        <v>2803</v>
      </c>
      <c r="C883" t="s">
        <v>2804</v>
      </c>
      <c r="D883" s="2" t="n">
        <v>551000</v>
      </c>
      <c r="E883" t="str">
        <f aca="1">INDEX('[1]Data Export (2)'!$A:$K,MATCH(A883,'[1]Data Export (2)'!$B:$B,0),11)</f>
        <v>Banques, chèques postaux, caisse</v>
      </c>
    </row>
    <row r="884" spans="1:5">
      <c r="A884" t="s">
        <v>2805</v>
      </c>
      <c r="B884" t="s">
        <v>2806</v>
      </c>
      <c r="C884" t="s">
        <v>2807</v>
      </c>
      <c r="D884" s="2" t="n">
        <v>552000</v>
      </c>
      <c r="E884" t="str">
        <f aca="1">INDEX('[1]Data Export (2)'!$A:$K,MATCH(A884,'[1]Data Export (2)'!$B:$B,0),11)</f>
        <v>Banques, chèques postaux, caisse</v>
      </c>
    </row>
    <row r="885" spans="1:5">
      <c r="A885" t="s">
        <v>2808</v>
      </c>
      <c r="B885" t="s">
        <v>2809</v>
      </c>
      <c r="C885" t="s">
        <v>2810</v>
      </c>
      <c r="D885" s="2" t="n">
        <v>553000</v>
      </c>
      <c r="E885" t="str">
        <f aca="1">INDEX('[1]Data Export (2)'!$A:$K,MATCH(A885,'[1]Data Export (2)'!$B:$B,0),11)</f>
        <v>Banques, chèques postaux, caisse</v>
      </c>
    </row>
    <row r="886" spans="1:5">
      <c r="A886" t="s">
        <v>2811</v>
      </c>
      <c r="B886" t="s">
        <v>2812</v>
      </c>
      <c r="C886" t="s">
        <v>2813</v>
      </c>
      <c r="D886" s="2" t="n">
        <v>554000</v>
      </c>
      <c r="E886" t="str">
        <f aca="1">INDEX('[1]Data Export (2)'!$A:$K,MATCH(D886,'[1]Data Export (2)'!$F:$F,0),11)</f>
        <v>Banques, chèques postaux, caisse</v>
      </c>
    </row>
    <row r="887" spans="1:5">
      <c r="A887" t="s">
        <v>2814</v>
      </c>
      <c r="B887" t="s">
        <v>2815</v>
      </c>
      <c r="C887" t="s">
        <v>2816</v>
      </c>
      <c r="D887" s="2" t="n">
        <v>558000</v>
      </c>
      <c r="E887" t="str">
        <f aca="1">INDEX('[1]Data Export (2)'!$A:$K,MATCH(A887,'[1]Data Export (2)'!$B:$B,0),11)</f>
        <v>Banques, chèques postaux, caisse</v>
      </c>
    </row>
    <row r="888" spans="1:4">
      <c r="A888" t="s">
        <v>2817</v>
      </c>
      <c r="B888" t="s">
        <v>2818</v>
      </c>
      <c r="C888" t="s">
        <v>2819</v>
      </c>
      <c r="D888" s="2" t="n">
        <v>56</v>
      </c>
    </row>
    <row r="889" spans="1:5">
      <c r="A889" t="s">
        <v>2820</v>
      </c>
      <c r="B889" t="s">
        <v>2821</v>
      </c>
      <c r="C889" t="s">
        <v>2822</v>
      </c>
      <c r="D889" s="2" t="n">
        <v>561000</v>
      </c>
      <c r="E889" t="str">
        <f aca="1">INDEX('[1]Data Export (2)'!$A:$K,MATCH(A889,'[1]Data Export (2)'!$B:$B,0),11)</f>
        <v>Banques, établissements financiers et crédits de trésorerie </v>
      </c>
    </row>
    <row r="890" spans="1:5">
      <c r="A890" t="s">
        <v>2823</v>
      </c>
      <c r="B890" t="s">
        <v>2824</v>
      </c>
      <c r="C890" t="s">
        <v>2825</v>
      </c>
      <c r="D890" s="2" t="n">
        <v>564000</v>
      </c>
      <c r="E890" t="str">
        <f aca="1">INDEX('[1]Data Export (2)'!$A:$K,MATCH(A890,'[1]Data Export (2)'!$B:$B,0),11)</f>
        <v>Banques, crédits d'escompte</v>
      </c>
    </row>
    <row r="891" spans="1:5">
      <c r="A891" t="s">
        <v>2826</v>
      </c>
      <c r="B891" t="s">
        <v>2827</v>
      </c>
      <c r="C891" t="s">
        <v>2828</v>
      </c>
      <c r="D891" s="2" t="n">
        <v>565000</v>
      </c>
      <c r="E891" t="str">
        <f aca="1">INDEX('[1]Data Export (2)'!$A:$K,MATCH(A891,'[1]Data Export (2)'!$B:$B,0),11)</f>
        <v>Banques, crédits d'escompte</v>
      </c>
    </row>
    <row r="892" spans="1:5">
      <c r="A892" t="s">
        <v>2829</v>
      </c>
      <c r="B892" t="s">
        <v>2830</v>
      </c>
      <c r="C892" t="s">
        <v>2831</v>
      </c>
      <c r="D892" s="2" t="n">
        <v>566000</v>
      </c>
      <c r="E892" t="str">
        <f aca="1">INDEX('[1]Data Export (2)'!$A:$K,MATCH(A892,'[1]Data Export (2)'!$B:$B,0),11)</f>
        <v>Banques, établissements financiers et crédits de trésorerie </v>
      </c>
    </row>
    <row r="893" spans="1:4">
      <c r="A893" t="s">
        <v>2832</v>
      </c>
      <c r="B893" t="s">
        <v>2833</v>
      </c>
      <c r="C893" t="s">
        <v>2834</v>
      </c>
      <c r="D893" s="2" t="n">
        <v>57</v>
      </c>
    </row>
    <row r="894" spans="1:5">
      <c r="A894" t="s">
        <v>2835</v>
      </c>
      <c r="B894" t="s">
        <v>2836</v>
      </c>
      <c r="C894" t="s">
        <v>2837</v>
      </c>
      <c r="D894" s="2" t="n">
        <v>571000</v>
      </c>
      <c r="E894" t="str">
        <f aca="1">INDEX('[1]Data Export (2)'!$A:$K,MATCH(A894,'[1]Data Export (2)'!$B:$B,0),11)</f>
        <v>Banques, chèques postaux, caisse</v>
      </c>
    </row>
    <row r="895" spans="1:5">
      <c r="A895" t="s">
        <v>2838</v>
      </c>
      <c r="B895" t="s">
        <v>2839</v>
      </c>
      <c r="C895" t="s">
        <v>2840</v>
      </c>
      <c r="D895" s="2" t="n">
        <v>571100</v>
      </c>
      <c r="E895" t="str">
        <f aca="1">INDEX('[1]Data Export (2)'!$A:$K,MATCH(A895,'[1]Data Export (2)'!$B:$B,0),11)</f>
        <v>Banques, chèques postaux, caisse</v>
      </c>
    </row>
    <row r="896" spans="1:5">
      <c r="A896" t="s">
        <v>2841</v>
      </c>
      <c r="B896" t="s">
        <v>2842</v>
      </c>
      <c r="C896" t="s">
        <v>2843</v>
      </c>
      <c r="D896" s="2" t="n">
        <v>571200</v>
      </c>
      <c r="E896" t="str">
        <f aca="1">INDEX('[1]Data Export (2)'!$A:$K,MATCH(A896,'[1]Data Export (2)'!$B:$B,0),11)</f>
        <v>Banques, chèques postaux, caisse</v>
      </c>
    </row>
    <row r="897" spans="1:5">
      <c r="A897" t="s">
        <v>2844</v>
      </c>
      <c r="B897" t="s">
        <v>2845</v>
      </c>
      <c r="C897" t="s">
        <v>2846</v>
      </c>
      <c r="D897" s="2" t="n">
        <v>572000</v>
      </c>
      <c r="E897" t="str">
        <f aca="1">INDEX('[1]Data Export (2)'!$A:$K,MATCH(A897,'[1]Data Export (2)'!$B:$B,0),11)</f>
        <v>Banques, chèques postaux, caisse</v>
      </c>
    </row>
    <row r="898" spans="1:5">
      <c r="A898" t="s">
        <v>2847</v>
      </c>
      <c r="B898" t="s">
        <v>2848</v>
      </c>
      <c r="C898" t="s">
        <v>2849</v>
      </c>
      <c r="D898" s="2" t="n">
        <v>572100</v>
      </c>
      <c r="E898" t="str">
        <f aca="1">INDEX('[1]Data Export (2)'!$A:$K,MATCH(A898,'[1]Data Export (2)'!$B:$B,0),11)</f>
        <v>Banques, chèques postaux, caisse</v>
      </c>
    </row>
    <row r="899" spans="1:5">
      <c r="A899" t="s">
        <v>2850</v>
      </c>
      <c r="B899" t="s">
        <v>2851</v>
      </c>
      <c r="C899" t="s">
        <v>2852</v>
      </c>
      <c r="D899" s="2" t="n">
        <v>572200</v>
      </c>
      <c r="E899" t="str">
        <f aca="1">INDEX('[1]Data Export (2)'!$A:$K,MATCH(A899,'[1]Data Export (2)'!$B:$B,0),11)</f>
        <v>Banques, chèques postaux, caisse</v>
      </c>
    </row>
    <row r="900" spans="1:5">
      <c r="A900" t="s">
        <v>2853</v>
      </c>
      <c r="B900" t="s">
        <v>2854</v>
      </c>
      <c r="C900" t="s">
        <v>2855</v>
      </c>
      <c r="D900" s="2" t="n">
        <v>573000</v>
      </c>
      <c r="E900" t="str">
        <f aca="1">INDEX('[1]Data Export (2)'!$A:$K,MATCH(A900,'[1]Data Export (2)'!$B:$B,0),11)</f>
        <v>Banques, chèques postaux, caisse</v>
      </c>
    </row>
    <row r="901" spans="1:5">
      <c r="A901" t="s">
        <v>2856</v>
      </c>
      <c r="B901" t="s">
        <v>2857</v>
      </c>
      <c r="C901" t="s">
        <v>2858</v>
      </c>
      <c r="D901" s="2" t="n">
        <v>573100</v>
      </c>
      <c r="E901" t="str">
        <f aca="1">INDEX('[1]Data Export (2)'!$A:$K,MATCH(A901,'[1]Data Export (2)'!$B:$B,0),11)</f>
        <v>Banques, chèques postaux, caisse</v>
      </c>
    </row>
    <row r="902" spans="1:5">
      <c r="A902" t="s">
        <v>2859</v>
      </c>
      <c r="B902" t="s">
        <v>2860</v>
      </c>
      <c r="C902" t="s">
        <v>2861</v>
      </c>
      <c r="D902" s="2" t="n">
        <v>573200</v>
      </c>
      <c r="E902" t="str">
        <f aca="1">INDEX('[1]Data Export (2)'!$A:$K,MATCH(A902,'[1]Data Export (2)'!$B:$B,0),11)</f>
        <v>Banques, chèques postaux, caisse</v>
      </c>
    </row>
    <row r="903" spans="1:4">
      <c r="A903" t="s">
        <v>2862</v>
      </c>
      <c r="B903" t="s">
        <v>2863</v>
      </c>
      <c r="C903" t="s">
        <v>2864</v>
      </c>
      <c r="D903" s="2" t="n">
        <v>58</v>
      </c>
    </row>
    <row r="904" spans="1:5">
      <c r="A904" t="s">
        <v>2865</v>
      </c>
      <c r="B904" t="s">
        <v>2866</v>
      </c>
      <c r="C904" t="s">
        <v>2867</v>
      </c>
      <c r="D904" s="2" t="n">
        <v>581000</v>
      </c>
      <c r="E904" t="str">
        <f aca="1">INDEX('[1]Data Export (2)'!$A:$K,MATCH(A904,'[1]Data Export (2)'!$B:$B,0),11)</f>
        <v>Banques, chèques postaux, caisse</v>
      </c>
    </row>
    <row r="905" spans="1:5">
      <c r="A905" t="s">
        <v>2868</v>
      </c>
      <c r="B905" t="s">
        <v>2869</v>
      </c>
      <c r="C905" t="s">
        <v>2870</v>
      </c>
      <c r="D905" s="2" t="n">
        <v>582000</v>
      </c>
      <c r="E905" t="str">
        <f aca="1">INDEX('[1]Data Export (2)'!$A:$K,MATCH(A905,'[1]Data Export (2)'!$B:$B,0),11)</f>
        <v>Banques, chèques postaux, caisse</v>
      </c>
    </row>
    <row r="906" spans="1:5">
      <c r="A906" t="s">
        <v>2871</v>
      </c>
      <c r="B906" t="s">
        <v>2872</v>
      </c>
      <c r="C906" t="s">
        <v>2873</v>
      </c>
      <c r="D906" s="2" t="n">
        <v>585000</v>
      </c>
      <c r="E906" t="str">
        <f aca="1">INDEX('[1]Data Export (2)'!$A:$K,MATCH(A906,'[1]Data Export (2)'!$B:$B,0),11)</f>
        <v>Banques, chèques postaux, caisse</v>
      </c>
    </row>
    <row r="907" spans="1:5">
      <c r="A907" t="s">
        <v>2874</v>
      </c>
      <c r="B907" t="s">
        <v>2875</v>
      </c>
      <c r="C907" t="s">
        <v>2876</v>
      </c>
      <c r="D907" s="2" t="n">
        <v>588000</v>
      </c>
      <c r="E907" t="str">
        <f aca="1">INDEX('[1]Data Export (2)'!$A:$K,MATCH(A907,'[1]Data Export (2)'!$B:$B,0),11)</f>
        <v>Banques, chèques postaux, caisse</v>
      </c>
    </row>
    <row r="908" spans="1:4">
      <c r="A908" t="s">
        <v>2877</v>
      </c>
      <c r="B908" t="s">
        <v>2878</v>
      </c>
      <c r="C908" t="s">
        <v>2879</v>
      </c>
      <c r="D908" s="2" t="n">
        <v>59</v>
      </c>
    </row>
    <row r="909" spans="1:5">
      <c r="A909" t="s">
        <v>2880</v>
      </c>
      <c r="B909" t="s">
        <v>2881</v>
      </c>
      <c r="C909" t="s">
        <v>2882</v>
      </c>
      <c r="D909" s="2" t="n">
        <v>590000</v>
      </c>
      <c r="E909" t="str">
        <f aca="1">INDEX('[1]Data Export (2)'!$A:$K,MATCH(A909,'[1]Data Export (2)'!$B:$B,0),11)</f>
        <v>Dépréciations trésorerie</v>
      </c>
    </row>
    <row r="910" spans="1:5">
      <c r="A910" t="s">
        <v>2883</v>
      </c>
      <c r="B910" t="s">
        <v>2884</v>
      </c>
      <c r="C910" t="s">
        <v>2885</v>
      </c>
      <c r="D910" s="2" t="n">
        <v>591000</v>
      </c>
      <c r="E910" t="str">
        <f aca="1">INDEX('[1]Data Export (2)'!$A:$K,MATCH(A910,'[1]Data Export (2)'!$B:$B,0),11)</f>
        <v>Dépréciations trésorerie</v>
      </c>
    </row>
    <row r="911" spans="1:5">
      <c r="A911" t="s">
        <v>2886</v>
      </c>
      <c r="B911" t="s">
        <v>2887</v>
      </c>
      <c r="C911" t="s">
        <v>2888</v>
      </c>
      <c r="D911" s="2" t="n">
        <v>592000</v>
      </c>
      <c r="E911" t="str">
        <f aca="1">INDEX('[1]Data Export (2)'!$A:$K,MATCH(A911,'[1]Data Export (2)'!$B:$B,0),11)</f>
        <v>Dépréciations trésorerie</v>
      </c>
    </row>
    <row r="912" spans="1:5">
      <c r="A912" t="s">
        <v>2889</v>
      </c>
      <c r="B912" t="s">
        <v>2890</v>
      </c>
      <c r="C912" t="s">
        <v>2891</v>
      </c>
      <c r="D912" s="2" t="n">
        <v>593000</v>
      </c>
      <c r="E912" t="str">
        <f aca="1">INDEX('[1]Data Export (2)'!$A:$K,MATCH(A912,'[1]Data Export (2)'!$B:$B,0),11)</f>
        <v>Dépréciations trésorerie</v>
      </c>
    </row>
    <row r="913" spans="1:5">
      <c r="A913" t="s">
        <v>2892</v>
      </c>
      <c r="B913" t="s">
        <v>2893</v>
      </c>
      <c r="C913" t="s">
        <v>2894</v>
      </c>
      <c r="D913" s="2" t="n">
        <v>594000</v>
      </c>
      <c r="E913" t="str">
        <f aca="1">INDEX('[1]Data Export (2)'!$A:$K,MATCH(A913,'[1]Data Export (2)'!$B:$B,0),11)</f>
        <v>Dépréciations trésorerie</v>
      </c>
    </row>
    <row r="914" spans="1:5">
      <c r="A914" t="s">
        <v>2895</v>
      </c>
      <c r="B914" t="s">
        <v>2896</v>
      </c>
      <c r="C914" t="s">
        <v>2897</v>
      </c>
      <c r="D914" s="2" t="n">
        <v>599000</v>
      </c>
      <c r="E914" t="str">
        <f aca="1">INDEX('[1]Data Export (2)'!$A:$K,MATCH(A914,'[1]Data Export (2)'!$B:$B,0),11)</f>
        <v>Dépréciations trésorerie</v>
      </c>
    </row>
    <row r="915" spans="1:4">
      <c r="A915" t="s">
        <v>2898</v>
      </c>
      <c r="B915" t="s">
        <v>2899</v>
      </c>
      <c r="D915" s="2" t="n">
        <v>6</v>
      </c>
    </row>
    <row r="916" spans="1:4">
      <c r="A916" t="s">
        <v>2900</v>
      </c>
      <c r="B916" t="s">
        <v>2901</v>
      </c>
      <c r="C916" t="s">
        <v>2902</v>
      </c>
      <c r="D916" s="2" t="n">
        <v>60</v>
      </c>
    </row>
    <row r="917" spans="1:5">
      <c r="A917" t="s">
        <v>2903</v>
      </c>
      <c r="B917" t="s">
        <v>2904</v>
      </c>
      <c r="C917" t="s">
        <v>2905</v>
      </c>
      <c r="D917" s="2" t="n">
        <v>601000</v>
      </c>
      <c r="E917" t="str">
        <f aca="1">INDEX('[1]Data Export (2)'!$A:$K,MATCH(A917,'[1]Data Export (2)'!$B:$B,0),11)</f>
        <v>Achat de marchandises</v>
      </c>
    </row>
    <row r="918" spans="1:5">
      <c r="A918" t="s">
        <v>2906</v>
      </c>
      <c r="B918" t="s">
        <v>2907</v>
      </c>
      <c r="C918" t="s">
        <v>2908</v>
      </c>
      <c r="D918" s="2" t="n">
        <v>601100</v>
      </c>
      <c r="E918" t="str">
        <f aca="1">INDEX('[1]Data Export (2)'!$A:$K,MATCH(A918,'[1]Data Export (2)'!$B:$B,0),11)</f>
        <v>Achat de marchandises</v>
      </c>
    </row>
    <row r="919" spans="1:5">
      <c r="A919" t="s">
        <v>2909</v>
      </c>
      <c r="B919" t="s">
        <v>2910</v>
      </c>
      <c r="C919" t="s">
        <v>2911</v>
      </c>
      <c r="D919" s="2" t="n">
        <v>601200</v>
      </c>
      <c r="E919" t="str">
        <f aca="1">INDEX('[1]Data Export (2)'!$A:$K,MATCH(A919,'[1]Data Export (2)'!$B:$B,0),11)</f>
        <v>Achat de marchandises</v>
      </c>
    </row>
    <row r="920" spans="1:5">
      <c r="A920" t="s">
        <v>2912</v>
      </c>
      <c r="B920" t="s">
        <v>2913</v>
      </c>
      <c r="C920" t="s">
        <v>2914</v>
      </c>
      <c r="D920" s="2" t="n">
        <v>601300</v>
      </c>
      <c r="E920" t="str">
        <f aca="1">INDEX('[1]Data Export (2)'!$A:$K,MATCH(A920,'[1]Data Export (2)'!$B:$B,0),11)</f>
        <v>Achat de marchandises</v>
      </c>
    </row>
    <row r="921" spans="1:5">
      <c r="A921" t="s">
        <v>2915</v>
      </c>
      <c r="B921" t="s">
        <v>2916</v>
      </c>
      <c r="C921" t="s">
        <v>2917</v>
      </c>
      <c r="D921" s="2" t="n">
        <v>601400</v>
      </c>
      <c r="E921" t="str">
        <f aca="1">INDEX('[1]Data Export (2)'!$A:$K,MATCH(A921,'[1]Data Export (2)'!$B:$B,0),11)</f>
        <v>Achat de marchandises</v>
      </c>
    </row>
    <row r="922" spans="1:5">
      <c r="A922" t="s">
        <v>2918</v>
      </c>
      <c r="B922" t="s">
        <v>2919</v>
      </c>
      <c r="C922" t="s">
        <v>2920</v>
      </c>
      <c r="D922" s="2" t="n">
        <v>601500</v>
      </c>
      <c r="E922" t="str">
        <f aca="1">INDEX('[1]Data Export (2)'!$A:$K,MATCH(A922,'[1]Data Export (2)'!$B:$B,0),11)</f>
        <v>Achat de marchandises</v>
      </c>
    </row>
    <row r="923" spans="1:5">
      <c r="A923" t="s">
        <v>2921</v>
      </c>
      <c r="B923" t="s">
        <v>2922</v>
      </c>
      <c r="C923" t="s">
        <v>2923</v>
      </c>
      <c r="D923" s="2" t="n">
        <v>601900</v>
      </c>
      <c r="E923" t="str">
        <f aca="1">INDEX('[1]Data Export (2)'!$A:$K,MATCH(A923,'[1]Data Export (2)'!$B:$B,0),11)</f>
        <v>Achat de marchandises</v>
      </c>
    </row>
    <row r="924" spans="1:5">
      <c r="A924" t="s">
        <v>2924</v>
      </c>
      <c r="B924" t="s">
        <v>2925</v>
      </c>
      <c r="C924" t="s">
        <v>2926</v>
      </c>
      <c r="D924" s="2" t="n">
        <v>602000</v>
      </c>
      <c r="E924" t="str">
        <f aca="1">INDEX('[1]Data Export (2)'!$A:$K,MATCH(A924,'[1]Data Export (2)'!$B:$B,0),11)</f>
        <v>Achats de matières premières et fournitures liées</v>
      </c>
    </row>
    <row r="925" spans="1:5">
      <c r="A925" t="s">
        <v>2927</v>
      </c>
      <c r="B925" t="s">
        <v>2928</v>
      </c>
      <c r="C925" t="s">
        <v>2929</v>
      </c>
      <c r="D925" s="2" t="n">
        <v>602100</v>
      </c>
      <c r="E925" t="str">
        <f aca="1">INDEX('[1]Data Export (2)'!$A:$K,MATCH(A925,'[1]Data Export (2)'!$B:$B,0),11)</f>
        <v>Achats de matières premières et fournitures liées</v>
      </c>
    </row>
    <row r="926" spans="1:5">
      <c r="A926" t="s">
        <v>2930</v>
      </c>
      <c r="B926" t="s">
        <v>2931</v>
      </c>
      <c r="C926" t="s">
        <v>2932</v>
      </c>
      <c r="D926" s="2" t="n">
        <v>602200</v>
      </c>
      <c r="E926" t="str">
        <f aca="1">INDEX('[1]Data Export (2)'!$A:$K,MATCH(A926,'[1]Data Export (2)'!$B:$B,0),11)</f>
        <v>Achats de matières premières et fournitures liées</v>
      </c>
    </row>
    <row r="927" spans="1:5">
      <c r="A927" t="s">
        <v>2933</v>
      </c>
      <c r="B927" t="s">
        <v>2934</v>
      </c>
      <c r="C927" t="s">
        <v>2935</v>
      </c>
      <c r="D927" s="2" t="n">
        <v>602300</v>
      </c>
      <c r="E927" t="str">
        <f aca="1">INDEX('[1]Data Export (2)'!$A:$K,MATCH(A927,'[1]Data Export (2)'!$B:$B,0),11)</f>
        <v>Achats de matières premières et fournitures liées</v>
      </c>
    </row>
    <row r="928" spans="1:5">
      <c r="A928" t="s">
        <v>2936</v>
      </c>
      <c r="B928" t="s">
        <v>2937</v>
      </c>
      <c r="C928" t="s">
        <v>2938</v>
      </c>
      <c r="D928" s="2" t="n">
        <v>602400</v>
      </c>
      <c r="E928" t="str">
        <f aca="1">INDEX('[1]Data Export (2)'!$A:$K,MATCH(A928,'[1]Data Export (2)'!$B:$B,0),11)</f>
        <v>Achats de matières premières et fournitures liées</v>
      </c>
    </row>
    <row r="929" spans="1:5">
      <c r="A929" t="s">
        <v>2939</v>
      </c>
      <c r="B929" t="s">
        <v>2940</v>
      </c>
      <c r="C929" t="s">
        <v>2941</v>
      </c>
      <c r="D929" s="2" t="n">
        <v>602500</v>
      </c>
      <c r="E929" t="str">
        <f aca="1">INDEX('[1]Data Export (2)'!$A:$K,MATCH(A929,'[1]Data Export (2)'!$B:$B,0),11)</f>
        <v>Achats de matières premières et fournitures liées</v>
      </c>
    </row>
    <row r="930" spans="1:5">
      <c r="A930" t="s">
        <v>2942</v>
      </c>
      <c r="B930" t="s">
        <v>2943</v>
      </c>
      <c r="C930" t="s">
        <v>2944</v>
      </c>
      <c r="D930" s="2" t="n">
        <v>602900</v>
      </c>
      <c r="E930" t="str">
        <f aca="1">INDEX('[1]Data Export (2)'!$A:$K,MATCH(A930,'[1]Data Export (2)'!$B:$B,0),11)</f>
        <v>Achats de matières premières et fournitures liées</v>
      </c>
    </row>
    <row r="931" spans="1:5">
      <c r="A931" t="s">
        <v>2945</v>
      </c>
      <c r="B931" t="s">
        <v>2946</v>
      </c>
      <c r="C931" t="s">
        <v>2947</v>
      </c>
      <c r="D931" s="2" t="n">
        <v>603000</v>
      </c>
      <c r="E931" t="str">
        <f aca="1">INDEX('[1]Data Export (2)'!$A:$K,MATCH(A931,'[1]Data Export (2)'!$B:$B,0),11)</f>
        <v>Variations des stocks de biens achetés</v>
      </c>
    </row>
    <row r="932" spans="1:5">
      <c r="A932" t="s">
        <v>2948</v>
      </c>
      <c r="B932" t="s">
        <v>2949</v>
      </c>
      <c r="C932" t="s">
        <v>2950</v>
      </c>
      <c r="D932" s="2" t="n">
        <v>603100</v>
      </c>
      <c r="E932" t="str">
        <f aca="1">INDEX('[1]Data Export (2)'!$A:$K,MATCH(A932,'[1]Data Export (2)'!$B:$B,0),11)</f>
        <v>Variation  de stocks de marchandises</v>
      </c>
    </row>
    <row r="933" spans="1:5">
      <c r="A933" t="s">
        <v>2951</v>
      </c>
      <c r="B933" t="s">
        <v>2952</v>
      </c>
      <c r="C933" t="s">
        <v>2953</v>
      </c>
      <c r="D933" s="2" t="n">
        <v>603200</v>
      </c>
      <c r="E933" t="str">
        <f aca="1">INDEX('[1]Data Export (2)'!$A:$K,MATCH(A933,'[1]Data Export (2)'!$B:$B,0),11)</f>
        <v>Variations de stocks de matières premières et fournitures liées</v>
      </c>
    </row>
    <row r="934" spans="1:5">
      <c r="A934" t="s">
        <v>2954</v>
      </c>
      <c r="B934" t="s">
        <v>2955</v>
      </c>
      <c r="C934" t="s">
        <v>2956</v>
      </c>
      <c r="D934" s="2" t="n">
        <v>603300</v>
      </c>
      <c r="E934" t="str">
        <f aca="1">INDEX('[1]Data Export (2)'!$A:$K,MATCH(A934,'[1]Data Export (2)'!$B:$B,0),11)</f>
        <v>Variations des autres approvisionnements</v>
      </c>
    </row>
    <row r="935" spans="1:5">
      <c r="A935" t="s">
        <v>2957</v>
      </c>
      <c r="B935" t="s">
        <v>2958</v>
      </c>
      <c r="C935" t="s">
        <v>2959</v>
      </c>
      <c r="D935" s="2" t="n">
        <v>604000</v>
      </c>
      <c r="E935" t="str">
        <f aca="1">INDEX('[1]Data Export (2)'!$A:$K,MATCH(A935,'[1]Data Export (2)'!$B:$B,0),11)</f>
        <v>Autres achats</v>
      </c>
    </row>
    <row r="936" spans="1:5">
      <c r="A936" t="s">
        <v>2960</v>
      </c>
      <c r="B936" t="s">
        <v>2961</v>
      </c>
      <c r="C936" t="s">
        <v>2962</v>
      </c>
      <c r="D936" s="2" t="n">
        <v>604100</v>
      </c>
      <c r="E936" t="str">
        <f aca="1">INDEX('[1]Data Export (2)'!$A:$K,MATCH(A936,'[1]Data Export (2)'!$B:$B,0),11)</f>
        <v>Autres achats</v>
      </c>
    </row>
    <row r="937" spans="1:5">
      <c r="A937" t="s">
        <v>2963</v>
      </c>
      <c r="B937" t="s">
        <v>2964</v>
      </c>
      <c r="C937" t="s">
        <v>2965</v>
      </c>
      <c r="D937" s="2" t="n">
        <v>604200</v>
      </c>
      <c r="E937" t="str">
        <f aca="1">INDEX('[1]Data Export (2)'!$A:$K,MATCH(A937,'[1]Data Export (2)'!$B:$B,0),11)</f>
        <v>Autres achats</v>
      </c>
    </row>
    <row r="938" spans="1:5">
      <c r="A938" t="s">
        <v>2966</v>
      </c>
      <c r="B938" t="s">
        <v>2967</v>
      </c>
      <c r="C938" t="s">
        <v>2968</v>
      </c>
      <c r="D938" s="2" t="n">
        <v>604300</v>
      </c>
      <c r="E938" t="str">
        <f aca="1">INDEX('[1]Data Export (2)'!$A:$K,MATCH(A938,'[1]Data Export (2)'!$B:$B,0),11)</f>
        <v>Autres achats</v>
      </c>
    </row>
    <row r="939" spans="1:5">
      <c r="A939" t="s">
        <v>2969</v>
      </c>
      <c r="B939" t="s">
        <v>2970</v>
      </c>
      <c r="C939" t="s">
        <v>2971</v>
      </c>
      <c r="D939" s="2" t="n">
        <v>604400</v>
      </c>
      <c r="E939" t="str">
        <f aca="1">INDEX('[1]Data Export (2)'!$A:$K,MATCH(A939,'[1]Data Export (2)'!$B:$B,0),11)</f>
        <v>Autres achats</v>
      </c>
    </row>
    <row r="940" spans="1:5">
      <c r="A940" t="s">
        <v>2972</v>
      </c>
      <c r="B940" t="s">
        <v>2973</v>
      </c>
      <c r="C940" t="s">
        <v>2974</v>
      </c>
      <c r="D940" s="2" t="n">
        <v>604500</v>
      </c>
      <c r="E940" t="str">
        <f aca="1">INDEX('[1]Data Export (2)'!$A:$K,MATCH(A940,'[1]Data Export (2)'!$B:$B,0),11)</f>
        <v>Autres achats</v>
      </c>
    </row>
    <row r="941" spans="1:5">
      <c r="A941" t="s">
        <v>2975</v>
      </c>
      <c r="B941" t="s">
        <v>2976</v>
      </c>
      <c r="C941" t="s">
        <v>2977</v>
      </c>
      <c r="D941" s="2" t="n">
        <v>604600</v>
      </c>
      <c r="E941" t="str">
        <f aca="1">INDEX('[1]Data Export (2)'!$A:$K,MATCH(A941,'[1]Data Export (2)'!$B:$B,0),11)</f>
        <v>Autres achats</v>
      </c>
    </row>
    <row r="942" spans="1:5">
      <c r="A942" t="s">
        <v>2978</v>
      </c>
      <c r="B942" t="s">
        <v>2979</v>
      </c>
      <c r="C942" t="s">
        <v>2980</v>
      </c>
      <c r="D942" s="2" t="n">
        <v>604700</v>
      </c>
      <c r="E942" t="str">
        <f aca="1">INDEX('[1]Data Export (2)'!$A:$K,MATCH(A942,'[1]Data Export (2)'!$B:$B,0),11)</f>
        <v>Autres achats</v>
      </c>
    </row>
    <row r="943" spans="1:5">
      <c r="A943" t="s">
        <v>2981</v>
      </c>
      <c r="B943" t="s">
        <v>2982</v>
      </c>
      <c r="C943" t="s">
        <v>2983</v>
      </c>
      <c r="D943" s="2" t="n">
        <v>604900</v>
      </c>
      <c r="E943" t="str">
        <f aca="1">INDEX('[1]Data Export (2)'!$A:$K,MATCH(A943,'[1]Data Export (2)'!$B:$B,0),11)</f>
        <v>Autres achats</v>
      </c>
    </row>
    <row r="944" spans="1:5">
      <c r="A944" t="s">
        <v>2984</v>
      </c>
      <c r="B944" t="s">
        <v>2985</v>
      </c>
      <c r="C944" t="s">
        <v>2986</v>
      </c>
      <c r="D944" s="2" t="n">
        <v>605000</v>
      </c>
      <c r="E944" t="str">
        <f aca="1">INDEX('[1]Data Export (2)'!$A:$K,MATCH(A944,'[1]Data Export (2)'!$B:$B,0),11)</f>
        <v>Autres achats</v>
      </c>
    </row>
    <row r="945" spans="1:5">
      <c r="A945" t="s">
        <v>2987</v>
      </c>
      <c r="B945" t="s">
        <v>2988</v>
      </c>
      <c r="C945" t="s">
        <v>2989</v>
      </c>
      <c r="D945" s="2" t="n">
        <v>605100</v>
      </c>
      <c r="E945" t="str">
        <f aca="1">INDEX('[1]Data Export (2)'!$A:$K,MATCH(A945,'[1]Data Export (2)'!$B:$B,0),11)</f>
        <v>Autres achats</v>
      </c>
    </row>
    <row r="946" spans="1:5">
      <c r="A946" t="s">
        <v>2990</v>
      </c>
      <c r="B946" t="s">
        <v>2991</v>
      </c>
      <c r="C946" t="s">
        <v>2992</v>
      </c>
      <c r="D946" s="2" t="n">
        <v>605200</v>
      </c>
      <c r="E946" t="str">
        <f aca="1">INDEX('[1]Data Export (2)'!$A:$K,MATCH(A946,'[1]Data Export (2)'!$B:$B,0),11)</f>
        <v>Autres achats</v>
      </c>
    </row>
    <row r="947" spans="1:5">
      <c r="A947" t="s">
        <v>2993</v>
      </c>
      <c r="B947" t="s">
        <v>2994</v>
      </c>
      <c r="C947" t="s">
        <v>2995</v>
      </c>
      <c r="D947" s="2" t="n">
        <v>605300</v>
      </c>
      <c r="E947" t="str">
        <f aca="1">INDEX('[1]Data Export (2)'!$A:$K,MATCH(A947,'[1]Data Export (2)'!$B:$B,0),11)</f>
        <v>Autres achats</v>
      </c>
    </row>
    <row r="948" spans="1:5">
      <c r="A948" t="s">
        <v>2996</v>
      </c>
      <c r="B948" t="s">
        <v>2997</v>
      </c>
      <c r="C948" t="s">
        <v>2998</v>
      </c>
      <c r="D948" s="2" t="n">
        <v>605400</v>
      </c>
      <c r="E948" t="str">
        <f aca="1">INDEX('[1]Data Export (2)'!$A:$K,MATCH(A948,'[1]Data Export (2)'!$B:$B,0),11)</f>
        <v>Autres achats</v>
      </c>
    </row>
    <row r="949" spans="1:5">
      <c r="A949" t="s">
        <v>2999</v>
      </c>
      <c r="B949" t="s">
        <v>3000</v>
      </c>
      <c r="C949" t="s">
        <v>3001</v>
      </c>
      <c r="D949" s="2" t="n">
        <v>605500</v>
      </c>
      <c r="E949" t="str">
        <f aca="1">INDEX('[1]Data Export (2)'!$A:$K,MATCH(A949,'[1]Data Export (2)'!$B:$B,0),11)</f>
        <v>Autres achats</v>
      </c>
    </row>
    <row r="950" spans="1:5">
      <c r="A950" t="s">
        <v>3002</v>
      </c>
      <c r="B950" t="s">
        <v>3003</v>
      </c>
      <c r="C950" t="s">
        <v>3004</v>
      </c>
      <c r="D950" s="2" t="n">
        <v>605600</v>
      </c>
      <c r="E950" t="str">
        <f aca="1">INDEX('[1]Data Export (2)'!$A:$K,MATCH(A950,'[1]Data Export (2)'!$B:$B,0),11)</f>
        <v>Autres achats</v>
      </c>
    </row>
    <row r="951" spans="1:5">
      <c r="A951" t="s">
        <v>3005</v>
      </c>
      <c r="B951" t="s">
        <v>3006</v>
      </c>
      <c r="C951" t="s">
        <v>3007</v>
      </c>
      <c r="D951" s="2" t="n">
        <v>605700</v>
      </c>
      <c r="E951" t="str">
        <f aca="1">INDEX('[1]Data Export (2)'!$A:$K,MATCH(A951,'[1]Data Export (2)'!$B:$B,0),11)</f>
        <v>Autres achats</v>
      </c>
    </row>
    <row r="952" spans="1:5">
      <c r="A952" t="s">
        <v>3008</v>
      </c>
      <c r="B952" t="s">
        <v>3009</v>
      </c>
      <c r="C952" t="s">
        <v>3010</v>
      </c>
      <c r="D952" s="2" t="n">
        <v>605800</v>
      </c>
      <c r="E952" t="str">
        <f aca="1">INDEX('[1]Data Export (2)'!$A:$K,MATCH(A952,'[1]Data Export (2)'!$B:$B,0),11)</f>
        <v>Autres achats</v>
      </c>
    </row>
    <row r="953" spans="1:5">
      <c r="A953" t="s">
        <v>3011</v>
      </c>
      <c r="B953" t="s">
        <v>3012</v>
      </c>
      <c r="C953" t="s">
        <v>3013</v>
      </c>
      <c r="D953" s="2" t="n">
        <v>605900</v>
      </c>
      <c r="E953" t="str">
        <f aca="1">INDEX('[1]Data Export (2)'!$A:$K,MATCH(A953,'[1]Data Export (2)'!$B:$B,0),11)</f>
        <v>Autres achats</v>
      </c>
    </row>
    <row r="954" spans="1:5">
      <c r="A954" t="s">
        <v>3014</v>
      </c>
      <c r="B954" t="s">
        <v>3015</v>
      </c>
      <c r="C954" t="s">
        <v>3016</v>
      </c>
      <c r="D954" s="2" t="n">
        <v>608000</v>
      </c>
      <c r="E954" t="str">
        <f aca="1">INDEX('[1]Data Export (2)'!$A:$K,MATCH(A954,'[1]Data Export (2)'!$B:$B,0),11)</f>
        <v>Autres achats</v>
      </c>
    </row>
    <row r="955" spans="1:5">
      <c r="A955" t="s">
        <v>3017</v>
      </c>
      <c r="B955" t="s">
        <v>3018</v>
      </c>
      <c r="C955" t="s">
        <v>3019</v>
      </c>
      <c r="D955" s="2" t="n">
        <v>608100</v>
      </c>
      <c r="E955" t="str">
        <f aca="1">INDEX('[1]Data Export (2)'!$A:$K,MATCH(A955,'[1]Data Export (2)'!$B:$B,0),11)</f>
        <v>Autres achats</v>
      </c>
    </row>
    <row r="956" spans="1:5">
      <c r="A956" t="s">
        <v>3020</v>
      </c>
      <c r="B956" t="s">
        <v>3021</v>
      </c>
      <c r="C956" t="s">
        <v>3022</v>
      </c>
      <c r="D956" s="2" t="n">
        <v>608200</v>
      </c>
      <c r="E956" t="str">
        <f aca="1">INDEX('[1]Data Export (2)'!$A:$K,MATCH(A956,'[1]Data Export (2)'!$B:$B,0),11)</f>
        <v>Autres achats</v>
      </c>
    </row>
    <row r="957" spans="1:5">
      <c r="A957" t="s">
        <v>3023</v>
      </c>
      <c r="B957" t="s">
        <v>3024</v>
      </c>
      <c r="C957" t="s">
        <v>3025</v>
      </c>
      <c r="D957" s="2" t="n">
        <v>608300</v>
      </c>
      <c r="E957" t="str">
        <f aca="1">INDEX('[1]Data Export (2)'!$A:$K,MATCH(A957,'[1]Data Export (2)'!$B:$B,0),11)</f>
        <v>Autres achats</v>
      </c>
    </row>
    <row r="958" spans="1:5">
      <c r="A958" t="s">
        <v>3026</v>
      </c>
      <c r="B958" t="s">
        <v>3027</v>
      </c>
      <c r="C958" t="s">
        <v>3028</v>
      </c>
      <c r="D958" s="2" t="n">
        <v>608500</v>
      </c>
      <c r="E958" t="str">
        <f aca="1">INDEX('[1]Data Export (2)'!$A:$K,MATCH(A958,'[1]Data Export (2)'!$B:$B,0),11)</f>
        <v>Autres achats</v>
      </c>
    </row>
    <row r="959" spans="1:5">
      <c r="A959" t="s">
        <v>3029</v>
      </c>
      <c r="B959" t="s">
        <v>3030</v>
      </c>
      <c r="C959" t="s">
        <v>3031</v>
      </c>
      <c r="D959" s="2" t="n">
        <v>608900</v>
      </c>
      <c r="E959" t="str">
        <f aca="1">INDEX('[1]Data Export (2)'!$A:$K,MATCH(A959,'[1]Data Export (2)'!$B:$B,0),11)</f>
        <v>Autres achats</v>
      </c>
    </row>
    <row r="960" spans="1:4">
      <c r="A960" t="s">
        <v>3032</v>
      </c>
      <c r="B960" t="s">
        <v>3033</v>
      </c>
      <c r="C960" t="s">
        <v>3034</v>
      </c>
      <c r="D960" s="2" t="n">
        <v>61</v>
      </c>
    </row>
    <row r="961" spans="1:5">
      <c r="A961" t="s">
        <v>3035</v>
      </c>
      <c r="B961" t="s">
        <v>3036</v>
      </c>
      <c r="C961" t="s">
        <v>3037</v>
      </c>
      <c r="D961" s="2" t="n">
        <v>612000</v>
      </c>
      <c r="E961" t="str">
        <f aca="1">INDEX('[1]Data Export (2)'!$A:$K,MATCH(A961,'[1]Data Export (2)'!$B:$B,0),11)</f>
        <v>Transport</v>
      </c>
    </row>
    <row r="962" spans="1:5">
      <c r="A962" t="s">
        <v>3038</v>
      </c>
      <c r="B962" t="s">
        <v>3039</v>
      </c>
      <c r="C962" t="s">
        <v>3040</v>
      </c>
      <c r="D962" s="2" t="n">
        <v>613000</v>
      </c>
      <c r="E962" t="str">
        <f aca="1">INDEX('[1]Data Export (2)'!$A:$K,MATCH(A962,'[1]Data Export (2)'!$B:$B,0),11)</f>
        <v>Transport</v>
      </c>
    </row>
    <row r="963" spans="1:5">
      <c r="A963" t="s">
        <v>3041</v>
      </c>
      <c r="B963" t="s">
        <v>3042</v>
      </c>
      <c r="C963" t="s">
        <v>3043</v>
      </c>
      <c r="D963" s="2" t="n">
        <v>614000</v>
      </c>
      <c r="E963" t="str">
        <f aca="1">INDEX('[1]Data Export (2)'!$A:$K,MATCH(A963,'[1]Data Export (2)'!$B:$B,0),11)</f>
        <v>Transport</v>
      </c>
    </row>
    <row r="964" spans="1:5">
      <c r="A964" t="s">
        <v>3044</v>
      </c>
      <c r="B964" t="s">
        <v>3045</v>
      </c>
      <c r="C964" t="s">
        <v>3046</v>
      </c>
      <c r="D964" s="2" t="n">
        <v>616000</v>
      </c>
      <c r="E964" t="str">
        <f aca="1">INDEX('[1]Data Export (2)'!$A:$K,MATCH(A964,'[1]Data Export (2)'!$B:$B,0),11)</f>
        <v>Transport</v>
      </c>
    </row>
    <row r="965" spans="1:5">
      <c r="A965" t="s">
        <v>3047</v>
      </c>
      <c r="B965" t="s">
        <v>3048</v>
      </c>
      <c r="C965" t="s">
        <v>3049</v>
      </c>
      <c r="D965" s="2" t="n">
        <v>618000</v>
      </c>
      <c r="E965" t="str">
        <f aca="1">INDEX('[1]Data Export (2)'!$A:$K,MATCH(A965,'[1]Data Export (2)'!$B:$B,0),11)</f>
        <v>Transport</v>
      </c>
    </row>
    <row r="966" spans="1:5">
      <c r="A966" t="s">
        <v>3050</v>
      </c>
      <c r="B966" t="s">
        <v>3051</v>
      </c>
      <c r="C966" t="s">
        <v>3052</v>
      </c>
      <c r="D966" s="2" t="n">
        <v>618100</v>
      </c>
      <c r="E966" t="str">
        <f aca="1">INDEX('[1]Data Export (2)'!$A:$K,MATCH(A966,'[1]Data Export (2)'!$B:$B,0),11)</f>
        <v>Transport</v>
      </c>
    </row>
    <row r="967" spans="1:5">
      <c r="A967" t="s">
        <v>3053</v>
      </c>
      <c r="B967" t="s">
        <v>3054</v>
      </c>
      <c r="C967" t="s">
        <v>3055</v>
      </c>
      <c r="D967" s="2" t="n">
        <v>618200</v>
      </c>
      <c r="E967" t="str">
        <f aca="1">INDEX('[1]Data Export (2)'!$A:$K,MATCH(A967,'[1]Data Export (2)'!$B:$B,0),11)</f>
        <v>Transport</v>
      </c>
    </row>
    <row r="968" spans="1:5">
      <c r="A968" t="s">
        <v>3056</v>
      </c>
      <c r="B968" t="s">
        <v>3057</v>
      </c>
      <c r="C968" t="s">
        <v>3058</v>
      </c>
      <c r="D968" s="2" t="n">
        <v>618300</v>
      </c>
      <c r="E968" t="str">
        <f aca="1">INDEX('[1]Data Export (2)'!$A:$K,MATCH(A968,'[1]Data Export (2)'!$B:$B,0),11)</f>
        <v>Transport</v>
      </c>
    </row>
    <row r="969" spans="1:4">
      <c r="A969" t="s">
        <v>3059</v>
      </c>
      <c r="B969" t="s">
        <v>3060</v>
      </c>
      <c r="C969" t="s">
        <v>3061</v>
      </c>
      <c r="D969" s="2" t="n">
        <v>62</v>
      </c>
    </row>
    <row r="970" spans="1:5">
      <c r="A970" t="s">
        <v>3062</v>
      </c>
      <c r="B970" t="s">
        <v>3063</v>
      </c>
      <c r="C970" t="s">
        <v>3064</v>
      </c>
      <c r="D970" s="2" t="n">
        <v>621000</v>
      </c>
      <c r="E970" t="str">
        <f aca="1">INDEX('[1]Data Export (2)'!$A:$K,MATCH(D970,'[1]Data Export (2)'!$F:$F,0),11)</f>
        <v>Services extérieurs</v>
      </c>
    </row>
    <row r="971" spans="1:5">
      <c r="A971" t="s">
        <v>3065</v>
      </c>
      <c r="B971" t="s">
        <v>3066</v>
      </c>
      <c r="C971" t="s">
        <v>3067</v>
      </c>
      <c r="D971" s="2" t="n">
        <v>622000</v>
      </c>
      <c r="E971" t="str">
        <f aca="1">INDEX('[1]Data Export (2)'!$A:$K,MATCH(A971,'[1]Data Export (2)'!$B:$B,0),11)</f>
        <v>Services extérieurs</v>
      </c>
    </row>
    <row r="972" spans="1:5">
      <c r="A972" t="s">
        <v>3068</v>
      </c>
      <c r="B972" t="s">
        <v>3069</v>
      </c>
      <c r="C972" t="s">
        <v>3070</v>
      </c>
      <c r="D972" s="2" t="n">
        <v>622100</v>
      </c>
      <c r="E972" t="str">
        <f aca="1">INDEX('[1]Data Export (2)'!$A:$K,MATCH(A972,'[1]Data Export (2)'!$B:$B,0),11)</f>
        <v>Services extérieurs</v>
      </c>
    </row>
    <row r="973" spans="1:5">
      <c r="A973" t="s">
        <v>3071</v>
      </c>
      <c r="B973" t="s">
        <v>3072</v>
      </c>
      <c r="C973" t="s">
        <v>3073</v>
      </c>
      <c r="D973" s="2" t="n">
        <v>622200</v>
      </c>
      <c r="E973" t="str">
        <f aca="1">INDEX('[1]Data Export (2)'!$A:$K,MATCH(A973,'[1]Data Export (2)'!$B:$B,0),11)</f>
        <v>Services extérieurs</v>
      </c>
    </row>
    <row r="974" spans="1:5">
      <c r="A974" t="s">
        <v>3074</v>
      </c>
      <c r="B974" t="s">
        <v>3075</v>
      </c>
      <c r="C974" t="s">
        <v>3076</v>
      </c>
      <c r="D974" s="2" t="n">
        <v>622300</v>
      </c>
      <c r="E974" t="str">
        <f aca="1">INDEX('[1]Data Export (2)'!$A:$K,MATCH(A974,'[1]Data Export (2)'!$B:$B,0),11)</f>
        <v>Services extérieurs</v>
      </c>
    </row>
    <row r="975" spans="1:5">
      <c r="A975" t="s">
        <v>3077</v>
      </c>
      <c r="B975" t="s">
        <v>3078</v>
      </c>
      <c r="C975" t="s">
        <v>3079</v>
      </c>
      <c r="D975" s="2" t="n">
        <v>622400</v>
      </c>
      <c r="E975" t="str">
        <f aca="1">INDEX('[1]Data Export (2)'!$A:$K,MATCH(A975,'[1]Data Export (2)'!$B:$B,0),11)</f>
        <v>Services extérieurs</v>
      </c>
    </row>
    <row r="976" spans="1:5">
      <c r="A976" t="s">
        <v>3080</v>
      </c>
      <c r="B976" t="s">
        <v>3081</v>
      </c>
      <c r="C976" t="s">
        <v>3082</v>
      </c>
      <c r="D976" s="2" t="n">
        <v>622500</v>
      </c>
      <c r="E976" t="str">
        <f aca="1">INDEX('[1]Data Export (2)'!$A:$K,MATCH(A976,'[1]Data Export (2)'!$B:$B,0),11)</f>
        <v>Services extérieurs</v>
      </c>
    </row>
    <row r="977" spans="1:5">
      <c r="A977" t="s">
        <v>3083</v>
      </c>
      <c r="B977" t="s">
        <v>3084</v>
      </c>
      <c r="C977" t="s">
        <v>3085</v>
      </c>
      <c r="D977" s="2" t="n">
        <v>622600</v>
      </c>
      <c r="E977" t="str">
        <f aca="1">INDEX('[1]Data Export (2)'!$A:$K,MATCH(A977,'[1]Data Export (2)'!$B:$B,0),11)</f>
        <v>Services extérieurs</v>
      </c>
    </row>
    <row r="978" spans="1:5">
      <c r="A978" t="s">
        <v>3086</v>
      </c>
      <c r="B978" t="s">
        <v>3087</v>
      </c>
      <c r="C978" t="s">
        <v>3088</v>
      </c>
      <c r="D978" s="2" t="n">
        <v>622800</v>
      </c>
      <c r="E978" t="str">
        <f aca="1">INDEX('[1]Data Export (2)'!$A:$K,MATCH(A978,'[1]Data Export (2)'!$B:$B,0),11)</f>
        <v>Services extérieurs</v>
      </c>
    </row>
    <row r="979" spans="1:5">
      <c r="A979" t="s">
        <v>3089</v>
      </c>
      <c r="B979" t="s">
        <v>3090</v>
      </c>
      <c r="C979" t="s">
        <v>3091</v>
      </c>
      <c r="D979" s="2" t="n">
        <v>623000</v>
      </c>
      <c r="E979" t="str">
        <f aca="1">INDEX('[1]Data Export (2)'!$A:$K,MATCH(A979,'[1]Data Export (2)'!$B:$B,0),11)</f>
        <v>Services extérieurs</v>
      </c>
    </row>
    <row r="980" spans="1:5">
      <c r="A980" t="s">
        <v>3092</v>
      </c>
      <c r="B980" t="s">
        <v>3093</v>
      </c>
      <c r="C980" t="s">
        <v>3094</v>
      </c>
      <c r="D980" s="2" t="n">
        <v>623200</v>
      </c>
      <c r="E980" t="str">
        <f aca="1">INDEX('[1]Data Export (2)'!$A:$K,MATCH(D980,'[1]Data Export (2)'!$F:$F,0),11)</f>
        <v>Services extérieurs</v>
      </c>
    </row>
    <row r="981" spans="1:5">
      <c r="A981" t="s">
        <v>3095</v>
      </c>
      <c r="B981" t="s">
        <v>3096</v>
      </c>
      <c r="C981" t="s">
        <v>3097</v>
      </c>
      <c r="D981" s="2" t="n">
        <v>623300</v>
      </c>
      <c r="E981" t="str">
        <f aca="1">INDEX('[1]Data Export (2)'!$A:$K,MATCH(D981,'[1]Data Export (2)'!$F:$F,0),11)</f>
        <v>Services extérieurs</v>
      </c>
    </row>
    <row r="982" spans="1:5">
      <c r="A982" t="s">
        <v>3098</v>
      </c>
      <c r="B982" t="s">
        <v>3099</v>
      </c>
      <c r="C982" t="s">
        <v>3100</v>
      </c>
      <c r="D982" s="2" t="n">
        <v>623400</v>
      </c>
      <c r="E982" t="str">
        <f aca="1">INDEX('[1]Data Export (2)'!$A:$K,MATCH(D982,'[1]Data Export (2)'!$F:$F,0),11)</f>
        <v>Services extérieurs</v>
      </c>
    </row>
    <row r="983" spans="1:5">
      <c r="A983" t="s">
        <v>3101</v>
      </c>
      <c r="B983" t="s">
        <v>3102</v>
      </c>
      <c r="C983" t="s">
        <v>3103</v>
      </c>
      <c r="D983" s="2" t="n">
        <v>623800</v>
      </c>
      <c r="E983" t="str">
        <f aca="1">INDEX('[1]Data Export (2)'!$A:$K,MATCH(A983,'[1]Data Export (2)'!$B:$B,0),11)</f>
        <v>Services extérieurs</v>
      </c>
    </row>
    <row r="984" spans="1:5">
      <c r="A984" t="s">
        <v>3104</v>
      </c>
      <c r="B984" t="s">
        <v>3105</v>
      </c>
      <c r="C984" t="s">
        <v>3106</v>
      </c>
      <c r="D984" s="2" t="n">
        <v>624000</v>
      </c>
      <c r="E984" t="str">
        <f aca="1">INDEX('[1]Data Export (2)'!$A:$K,MATCH(A984,'[1]Data Export (2)'!$B:$B,0),11)</f>
        <v>Services extérieurs</v>
      </c>
    </row>
    <row r="985" spans="1:5">
      <c r="A985" t="s">
        <v>3107</v>
      </c>
      <c r="B985" t="s">
        <v>3108</v>
      </c>
      <c r="C985" t="s">
        <v>3109</v>
      </c>
      <c r="D985" s="2" t="n">
        <v>624100</v>
      </c>
      <c r="E985" t="str">
        <f aca="1">INDEX('[1]Data Export (2)'!$A:$K,MATCH(A985,'[1]Data Export (2)'!$B:$B,0),11)</f>
        <v>Services extérieurs</v>
      </c>
    </row>
    <row r="986" spans="1:5">
      <c r="A986" t="s">
        <v>3110</v>
      </c>
      <c r="B986" t="s">
        <v>3111</v>
      </c>
      <c r="C986" t="s">
        <v>3112</v>
      </c>
      <c r="D986" s="2" t="n">
        <v>624200</v>
      </c>
      <c r="E986" t="str">
        <f aca="1">INDEX('[1]Data Export (2)'!$A:$K,MATCH(A986,'[1]Data Export (2)'!$B:$B,0),11)</f>
        <v>Services extérieurs</v>
      </c>
    </row>
    <row r="987" spans="1:5">
      <c r="A987" t="s">
        <v>3113</v>
      </c>
      <c r="B987" t="s">
        <v>3114</v>
      </c>
      <c r="C987" t="s">
        <v>3115</v>
      </c>
      <c r="D987" s="2" t="n">
        <v>624300</v>
      </c>
      <c r="E987" t="str">
        <f aca="1">INDEX('[1]Data Export (2)'!$A:$K,MATCH(A987,'[1]Data Export (2)'!$B:$B,0),11)</f>
        <v>Services extérieurs</v>
      </c>
    </row>
    <row r="988" spans="1:5">
      <c r="A988" t="s">
        <v>3116</v>
      </c>
      <c r="B988" t="s">
        <v>3117</v>
      </c>
      <c r="C988" t="s">
        <v>3118</v>
      </c>
      <c r="D988" s="2" t="n">
        <v>624400</v>
      </c>
      <c r="E988" t="str">
        <f aca="1">INDEX('[1]Data Export (2)'!$A:$K,MATCH(A988,'[1]Data Export (2)'!$B:$B,0),11)</f>
        <v>Services extérieurs</v>
      </c>
    </row>
    <row r="989" spans="1:5">
      <c r="A989" t="s">
        <v>3119</v>
      </c>
      <c r="B989" t="s">
        <v>3120</v>
      </c>
      <c r="C989" t="s">
        <v>3121</v>
      </c>
      <c r="D989" s="2" t="n">
        <v>624800</v>
      </c>
      <c r="E989" t="str">
        <f aca="1">INDEX('[1]Data Export (2)'!$A:$K,MATCH(A989,'[1]Data Export (2)'!$B:$B,0),11)</f>
        <v>Services extérieurs</v>
      </c>
    </row>
    <row r="990" spans="1:5">
      <c r="A990" t="s">
        <v>3122</v>
      </c>
      <c r="B990" t="s">
        <v>3123</v>
      </c>
      <c r="C990" t="s">
        <v>3124</v>
      </c>
      <c r="D990" s="2" t="n">
        <v>625000</v>
      </c>
      <c r="E990" t="str">
        <f aca="1">INDEX('[1]Data Export (2)'!$A:$K,MATCH(A990,'[1]Data Export (2)'!$B:$B,0),11)</f>
        <v>Services extérieurs</v>
      </c>
    </row>
    <row r="991" spans="1:5">
      <c r="A991" t="s">
        <v>3125</v>
      </c>
      <c r="B991" t="s">
        <v>3126</v>
      </c>
      <c r="C991" t="s">
        <v>3127</v>
      </c>
      <c r="D991" s="2" t="n">
        <v>625100</v>
      </c>
      <c r="E991" t="str">
        <f aca="1">INDEX('[1]Data Export (2)'!$A:$K,MATCH(A991,'[1]Data Export (2)'!$B:$B,0),11)</f>
        <v>Services extérieurs</v>
      </c>
    </row>
    <row r="992" spans="1:5">
      <c r="A992" t="s">
        <v>3128</v>
      </c>
      <c r="B992" t="s">
        <v>3129</v>
      </c>
      <c r="C992" t="s">
        <v>3130</v>
      </c>
      <c r="D992" s="2" t="n">
        <v>625200</v>
      </c>
      <c r="E992" t="str">
        <f aca="1">INDEX('[1]Data Export (2)'!$A:$K,MATCH(A992,'[1]Data Export (2)'!$B:$B,0),11)</f>
        <v>Services extérieurs</v>
      </c>
    </row>
    <row r="993" spans="1:5">
      <c r="A993" t="s">
        <v>3131</v>
      </c>
      <c r="B993" t="s">
        <v>3132</v>
      </c>
      <c r="C993" t="s">
        <v>3133</v>
      </c>
      <c r="D993" s="2" t="n">
        <v>625300</v>
      </c>
      <c r="E993" t="str">
        <f aca="1">INDEX('[1]Data Export (2)'!$A:$K,MATCH(A993,'[1]Data Export (2)'!$B:$B,0),11)</f>
        <v>Services extérieurs</v>
      </c>
    </row>
    <row r="994" spans="1:5">
      <c r="A994" t="s">
        <v>3134</v>
      </c>
      <c r="B994" t="s">
        <v>3135</v>
      </c>
      <c r="C994" t="s">
        <v>3136</v>
      </c>
      <c r="D994" s="2" t="n">
        <v>625400</v>
      </c>
      <c r="E994" t="str">
        <f aca="1">INDEX('[1]Data Export (2)'!$A:$K,MATCH(A994,'[1]Data Export (2)'!$B:$B,0),11)</f>
        <v>Services extérieurs</v>
      </c>
    </row>
    <row r="995" spans="1:5">
      <c r="A995" t="s">
        <v>3137</v>
      </c>
      <c r="B995" t="s">
        <v>3138</v>
      </c>
      <c r="C995" t="s">
        <v>3139</v>
      </c>
      <c r="D995" s="2" t="n">
        <v>625500</v>
      </c>
      <c r="E995" t="str">
        <f aca="1">INDEX('[1]Data Export (2)'!$A:$K,MATCH(A995,'[1]Data Export (2)'!$B:$B,0),11)</f>
        <v>Services extérieurs</v>
      </c>
    </row>
    <row r="996" spans="1:5">
      <c r="A996" t="s">
        <v>3140</v>
      </c>
      <c r="B996" t="s">
        <v>3141</v>
      </c>
      <c r="C996" t="s">
        <v>3142</v>
      </c>
      <c r="D996" s="2" t="n">
        <v>625700</v>
      </c>
      <c r="E996" t="str">
        <f aca="1">INDEX('[1]Data Export (2)'!$A:$K,MATCH(A996,'[1]Data Export (2)'!$B:$B,0),11)</f>
        <v>Services extérieurs</v>
      </c>
    </row>
    <row r="997" spans="1:5">
      <c r="A997" t="s">
        <v>3143</v>
      </c>
      <c r="B997" t="s">
        <v>3144</v>
      </c>
      <c r="C997" t="s">
        <v>3145</v>
      </c>
      <c r="D997" s="2" t="n">
        <v>625800</v>
      </c>
      <c r="E997" t="str">
        <f aca="1">INDEX('[1]Data Export (2)'!$A:$K,MATCH(A997,'[1]Data Export (2)'!$B:$B,0),11)</f>
        <v>Services extérieurs</v>
      </c>
    </row>
    <row r="998" spans="1:5">
      <c r="A998" t="s">
        <v>3146</v>
      </c>
      <c r="B998" t="s">
        <v>3147</v>
      </c>
      <c r="C998" t="s">
        <v>3148</v>
      </c>
      <c r="D998" s="2" t="n">
        <v>626000</v>
      </c>
      <c r="E998" t="str">
        <f aca="1">INDEX('[1]Data Export (2)'!$A:$K,MATCH(A998,'[1]Data Export (2)'!$B:$B,0),11)</f>
        <v>Services extérieurs</v>
      </c>
    </row>
    <row r="999" spans="1:5">
      <c r="A999" t="s">
        <v>3149</v>
      </c>
      <c r="B999" t="s">
        <v>3150</v>
      </c>
      <c r="C999" t="s">
        <v>3151</v>
      </c>
      <c r="D999" s="2" t="n">
        <v>626100</v>
      </c>
      <c r="E999" t="str">
        <f aca="1">INDEX('[1]Data Export (2)'!$A:$K,MATCH(A999,'[1]Data Export (2)'!$B:$B,0),11)</f>
        <v>Services extérieurs</v>
      </c>
    </row>
    <row r="1000" spans="1:5">
      <c r="A1000" t="s">
        <v>3152</v>
      </c>
      <c r="B1000" t="s">
        <v>3153</v>
      </c>
      <c r="C1000" t="s">
        <v>3154</v>
      </c>
      <c r="D1000" s="2" t="n">
        <v>626500</v>
      </c>
      <c r="E1000" t="str">
        <f aca="1">INDEX('[1]Data Export (2)'!$A:$K,MATCH(A1000,'[1]Data Export (2)'!$B:$B,0),11)</f>
        <v>Services extérieurs</v>
      </c>
    </row>
    <row r="1001" spans="1:5">
      <c r="A1001" t="s">
        <v>3155</v>
      </c>
      <c r="B1001" t="s">
        <v>3156</v>
      </c>
      <c r="C1001" t="s">
        <v>3157</v>
      </c>
      <c r="D1001" s="2" t="n">
        <v>626600</v>
      </c>
      <c r="E1001" t="str">
        <f aca="1">INDEX('[1]Data Export (2)'!$A:$K,MATCH(A1001,'[1]Data Export (2)'!$B:$B,0),11)</f>
        <v>Services extérieurs</v>
      </c>
    </row>
    <row r="1002" spans="1:5">
      <c r="A1002" t="s">
        <v>3158</v>
      </c>
      <c r="B1002" t="s">
        <v>3159</v>
      </c>
      <c r="C1002" t="s">
        <v>3160</v>
      </c>
      <c r="D1002" s="2" t="n">
        <v>627000</v>
      </c>
      <c r="E1002" t="str">
        <f aca="1">INDEX('[1]Data Export (2)'!$A:$K,MATCH(A1002,'[1]Data Export (2)'!$B:$B,0),11)</f>
        <v>Services extérieurs</v>
      </c>
    </row>
    <row r="1003" spans="1:5">
      <c r="A1003" t="s">
        <v>3161</v>
      </c>
      <c r="B1003" t="s">
        <v>3162</v>
      </c>
      <c r="C1003" t="s">
        <v>3163</v>
      </c>
      <c r="D1003" s="2" t="n">
        <v>627100</v>
      </c>
      <c r="E1003" t="str">
        <f aca="1">INDEX('[1]Data Export (2)'!$A:$K,MATCH(A1003,'[1]Data Export (2)'!$B:$B,0),11)</f>
        <v>Services extérieurs</v>
      </c>
    </row>
    <row r="1004" spans="1:5">
      <c r="A1004" t="s">
        <v>3164</v>
      </c>
      <c r="B1004" t="s">
        <v>3165</v>
      </c>
      <c r="C1004" t="s">
        <v>3166</v>
      </c>
      <c r="D1004" s="2" t="n">
        <v>627200</v>
      </c>
      <c r="E1004" t="str">
        <f aca="1">INDEX('[1]Data Export (2)'!$A:$K,MATCH(A1004,'[1]Data Export (2)'!$B:$B,0),11)</f>
        <v>Services extérieurs</v>
      </c>
    </row>
    <row r="1005" spans="1:5">
      <c r="A1005" t="s">
        <v>3167</v>
      </c>
      <c r="B1005" t="s">
        <v>3168</v>
      </c>
      <c r="C1005" t="s">
        <v>3169</v>
      </c>
      <c r="D1005" s="2" t="n">
        <v>627300</v>
      </c>
      <c r="E1005" t="str">
        <f aca="1">INDEX('[1]Data Export (2)'!$A:$K,MATCH(A1005,'[1]Data Export (2)'!$B:$B,0),11)</f>
        <v>Services extérieurs</v>
      </c>
    </row>
    <row r="1006" spans="1:5">
      <c r="A1006" t="s">
        <v>3170</v>
      </c>
      <c r="B1006" t="s">
        <v>3171</v>
      </c>
      <c r="C1006" t="s">
        <v>3172</v>
      </c>
      <c r="D1006" s="2" t="n">
        <v>627400</v>
      </c>
      <c r="E1006" t="str">
        <f aca="1">INDEX('[1]Data Export (2)'!$A:$K,MATCH(A1006,'[1]Data Export (2)'!$B:$B,0),11)</f>
        <v>Services extérieurs</v>
      </c>
    </row>
    <row r="1007" spans="1:5">
      <c r="A1007" t="s">
        <v>3173</v>
      </c>
      <c r="B1007" t="s">
        <v>3174</v>
      </c>
      <c r="C1007" t="s">
        <v>3175</v>
      </c>
      <c r="D1007" s="2" t="n">
        <v>627500</v>
      </c>
      <c r="E1007" t="str">
        <f aca="1">INDEX('[1]Data Export (2)'!$A:$K,MATCH(A1007,'[1]Data Export (2)'!$B:$B,0),11)</f>
        <v>Services extérieurs</v>
      </c>
    </row>
    <row r="1008" spans="1:5">
      <c r="A1008" t="s">
        <v>3176</v>
      </c>
      <c r="B1008" t="s">
        <v>3177</v>
      </c>
      <c r="C1008" t="s">
        <v>3178</v>
      </c>
      <c r="D1008" s="2" t="n">
        <v>627600</v>
      </c>
      <c r="E1008" t="str">
        <f aca="1">INDEX('[1]Data Export (2)'!$A:$K,MATCH(A1008,'[1]Data Export (2)'!$B:$B,0),11)</f>
        <v>Services extérieurs</v>
      </c>
    </row>
    <row r="1009" spans="1:5">
      <c r="A1009" t="s">
        <v>3179</v>
      </c>
      <c r="B1009" t="s">
        <v>3180</v>
      </c>
      <c r="C1009" t="s">
        <v>3181</v>
      </c>
      <c r="D1009" s="2" t="n">
        <v>627700</v>
      </c>
      <c r="E1009" t="str">
        <f aca="1">INDEX('[1]Data Export (2)'!$A:$K,MATCH(A1009,'[1]Data Export (2)'!$B:$B,0),11)</f>
        <v>Services extérieurs</v>
      </c>
    </row>
    <row r="1010" spans="1:5">
      <c r="A1010" t="s">
        <v>3182</v>
      </c>
      <c r="B1010" t="s">
        <v>3183</v>
      </c>
      <c r="C1010" t="s">
        <v>3184</v>
      </c>
      <c r="D1010" s="2" t="n">
        <v>627800</v>
      </c>
      <c r="E1010" t="str">
        <f aca="1">INDEX('[1]Data Export (2)'!$A:$K,MATCH(A1010,'[1]Data Export (2)'!$B:$B,0),11)</f>
        <v>Services extérieurs</v>
      </c>
    </row>
    <row r="1011" spans="1:5">
      <c r="A1011" t="s">
        <v>3185</v>
      </c>
      <c r="B1011" t="s">
        <v>3186</v>
      </c>
      <c r="C1011" t="s">
        <v>3187</v>
      </c>
      <c r="D1011" s="2" t="n">
        <v>628000</v>
      </c>
      <c r="E1011" t="str">
        <f aca="1">INDEX('[1]Data Export (2)'!$A:$K,MATCH(A1011,'[1]Data Export (2)'!$B:$B,0),11)</f>
        <v>Services extérieurs</v>
      </c>
    </row>
    <row r="1012" spans="1:5">
      <c r="A1012" t="s">
        <v>3188</v>
      </c>
      <c r="B1012" t="s">
        <v>3189</v>
      </c>
      <c r="C1012" t="s">
        <v>3190</v>
      </c>
      <c r="D1012" s="2" t="n">
        <v>628100</v>
      </c>
      <c r="E1012" t="str">
        <f aca="1">INDEX('[1]Data Export (2)'!$A:$K,MATCH(A1012,'[1]Data Export (2)'!$B:$B,0),11)</f>
        <v>Services extérieurs</v>
      </c>
    </row>
    <row r="1013" spans="1:5">
      <c r="A1013" t="s">
        <v>3191</v>
      </c>
      <c r="B1013" t="s">
        <v>3192</v>
      </c>
      <c r="C1013" t="s">
        <v>3193</v>
      </c>
      <c r="D1013" s="2" t="n">
        <v>628200</v>
      </c>
      <c r="E1013" t="str">
        <f aca="1">INDEX('[1]Data Export (2)'!$A:$K,MATCH(A1013,'[1]Data Export (2)'!$B:$B,0),11)</f>
        <v>Services extérieurs</v>
      </c>
    </row>
    <row r="1014" spans="1:5">
      <c r="A1014" t="s">
        <v>3194</v>
      </c>
      <c r="B1014" t="s">
        <v>3195</v>
      </c>
      <c r="C1014" t="s">
        <v>3196</v>
      </c>
      <c r="D1014" s="2" t="n">
        <v>628300</v>
      </c>
      <c r="E1014" t="str">
        <f aca="1">INDEX('[1]Data Export (2)'!$A:$K,MATCH(A1014,'[1]Data Export (2)'!$B:$B,0),11)</f>
        <v>Services extérieurs</v>
      </c>
    </row>
    <row r="1015" spans="1:5">
      <c r="A1015" t="s">
        <v>3197</v>
      </c>
      <c r="B1015" t="s">
        <v>3198</v>
      </c>
      <c r="C1015" t="s">
        <v>3199</v>
      </c>
      <c r="D1015" s="2" t="n">
        <v>628800</v>
      </c>
      <c r="E1015" t="str">
        <f aca="1">INDEX('[1]Data Export (2)'!$A:$K,MATCH(A1015,'[1]Data Export (2)'!$B:$B,0),11)</f>
        <v>Services extérieurs</v>
      </c>
    </row>
    <row r="1016" spans="1:4">
      <c r="A1016" t="s">
        <v>3200</v>
      </c>
      <c r="B1016" t="s">
        <v>3201</v>
      </c>
      <c r="C1016" t="s">
        <v>3202</v>
      </c>
      <c r="D1016" s="2" t="n">
        <v>63</v>
      </c>
    </row>
    <row r="1017" spans="1:5">
      <c r="A1017" t="s">
        <v>3203</v>
      </c>
      <c r="B1017" t="s">
        <v>3204</v>
      </c>
      <c r="C1017" t="s">
        <v>3205</v>
      </c>
      <c r="D1017" s="2" t="n">
        <v>631000</v>
      </c>
      <c r="E1017" t="str">
        <f aca="1">INDEX('[1]Data Export (2)'!$A:$K,MATCH(A1017,'[1]Data Export (2)'!$B:$B,0),11)</f>
        <v>Services extérieurs</v>
      </c>
    </row>
    <row r="1018" spans="1:5">
      <c r="A1018" t="s">
        <v>3206</v>
      </c>
      <c r="B1018" t="s">
        <v>3207</v>
      </c>
      <c r="C1018" t="s">
        <v>3208</v>
      </c>
      <c r="D1018" s="2" t="n">
        <v>631100</v>
      </c>
      <c r="E1018" t="str">
        <f aca="1">INDEX('[1]Data Export (2)'!$A:$K,MATCH(A1018,'[1]Data Export (2)'!$B:$B,0),11)</f>
        <v>Services extérieurs</v>
      </c>
    </row>
    <row r="1019" spans="1:5">
      <c r="A1019" t="s">
        <v>3209</v>
      </c>
      <c r="B1019" t="s">
        <v>3210</v>
      </c>
      <c r="C1019" t="s">
        <v>3211</v>
      </c>
      <c r="D1019" s="2" t="n">
        <v>631200</v>
      </c>
      <c r="E1019" t="str">
        <f aca="1">INDEX('[1]Data Export (2)'!$A:$K,MATCH(A1019,'[1]Data Export (2)'!$B:$B,0),11)</f>
        <v>Services extérieurs</v>
      </c>
    </row>
    <row r="1020" spans="1:5">
      <c r="A1020" t="s">
        <v>3212</v>
      </c>
      <c r="B1020" t="s">
        <v>3213</v>
      </c>
      <c r="C1020" t="s">
        <v>3214</v>
      </c>
      <c r="D1020" s="2" t="n">
        <v>631300</v>
      </c>
      <c r="E1020" t="str">
        <f aca="1">INDEX('[1]Data Export (2)'!$A:$K,MATCH(A1020,'[1]Data Export (2)'!$B:$B,0),11)</f>
        <v>Services extérieurs</v>
      </c>
    </row>
    <row r="1021" spans="1:5">
      <c r="A1021" t="s">
        <v>3215</v>
      </c>
      <c r="B1021" t="s">
        <v>3216</v>
      </c>
      <c r="C1021" t="s">
        <v>3217</v>
      </c>
      <c r="D1021" s="2" t="n">
        <v>631400</v>
      </c>
      <c r="E1021" t="str">
        <f aca="1">INDEX('[1]Data Export (2)'!$A:$K,MATCH(A1021,'[1]Data Export (2)'!$B:$B,0),11)</f>
        <v>Services extérieurs</v>
      </c>
    </row>
    <row r="1022" spans="1:5">
      <c r="A1022" t="s">
        <v>3218</v>
      </c>
      <c r="B1022" t="s">
        <v>3219</v>
      </c>
      <c r="C1022" t="s">
        <v>3220</v>
      </c>
      <c r="D1022" s="2" t="n">
        <v>631500</v>
      </c>
      <c r="E1022" t="str">
        <f aca="1">INDEX('[1]Data Export (2)'!$A:$K,MATCH(A1022,'[1]Data Export (2)'!$B:$B,0),11)</f>
        <v>Services extérieurs</v>
      </c>
    </row>
    <row r="1023" spans="1:5">
      <c r="A1023" t="s">
        <v>3221</v>
      </c>
      <c r="B1023" t="s">
        <v>3222</v>
      </c>
      <c r="C1023" t="s">
        <v>3223</v>
      </c>
      <c r="D1023" s="2" t="n">
        <v>631600</v>
      </c>
      <c r="E1023" t="str">
        <f aca="1">INDEX('[1]Data Export (2)'!$A:$K,MATCH(A1023,'[1]Data Export (2)'!$B:$B,0),11)</f>
        <v>Services extérieurs</v>
      </c>
    </row>
    <row r="1024" spans="1:5">
      <c r="A1024" t="s">
        <v>3224</v>
      </c>
      <c r="B1024" t="s">
        <v>3225</v>
      </c>
      <c r="C1024" t="s">
        <v>3226</v>
      </c>
      <c r="D1024" s="2" t="n">
        <v>631700</v>
      </c>
      <c r="E1024" t="str">
        <f aca="1">INDEX('[1]Data Export (2)'!$A:$K,MATCH(A1024,'[1]Data Export (2)'!$B:$B,0),11)</f>
        <v>Services extérieurs</v>
      </c>
    </row>
    <row r="1025" spans="1:5">
      <c r="A1025" t="s">
        <v>3227</v>
      </c>
      <c r="B1025" t="s">
        <v>3228</v>
      </c>
      <c r="C1025" t="s">
        <v>3229</v>
      </c>
      <c r="D1025" s="2" t="n">
        <v>631800</v>
      </c>
      <c r="E1025" t="str">
        <f aca="1">INDEX('[1]Data Export (2)'!$A:$K,MATCH(A1025,'[1]Data Export (2)'!$B:$B,0),11)</f>
        <v>Services extérieurs</v>
      </c>
    </row>
    <row r="1026" spans="1:5">
      <c r="A1026" t="s">
        <v>3230</v>
      </c>
      <c r="B1026" t="s">
        <v>3231</v>
      </c>
      <c r="C1026" t="s">
        <v>3232</v>
      </c>
      <c r="D1026" s="2" t="n">
        <v>632000</v>
      </c>
      <c r="E1026" t="str">
        <f aca="1">INDEX('[1]Data Export (2)'!$A:$K,MATCH(A1026,'[1]Data Export (2)'!$B:$B,0),11)</f>
        <v>Services extérieurs</v>
      </c>
    </row>
    <row r="1027" spans="1:5">
      <c r="A1027" t="s">
        <v>3233</v>
      </c>
      <c r="B1027" t="s">
        <v>3234</v>
      </c>
      <c r="C1027" t="s">
        <v>3235</v>
      </c>
      <c r="D1027" s="2" t="n">
        <v>632200</v>
      </c>
      <c r="E1027" t="str">
        <f aca="1">INDEX('[1]Data Export (2)'!$A:$K,MATCH(A1027,'[1]Data Export (2)'!$B:$B,0),11)</f>
        <v>Services extérieurs</v>
      </c>
    </row>
    <row r="1028" spans="1:5">
      <c r="A1028" t="s">
        <v>3236</v>
      </c>
      <c r="B1028" t="s">
        <v>3237</v>
      </c>
      <c r="C1028" t="s">
        <v>3238</v>
      </c>
      <c r="D1028" s="2" t="n">
        <v>632400</v>
      </c>
      <c r="E1028" t="str">
        <f aca="1">INDEX('[1]Data Export (2)'!$A:$K,MATCH(A1028,'[1]Data Export (2)'!$B:$B,0),11)</f>
        <v>Services extérieurs</v>
      </c>
    </row>
    <row r="1029" spans="1:5">
      <c r="A1029" t="s">
        <v>3239</v>
      </c>
      <c r="B1029" t="s">
        <v>3240</v>
      </c>
      <c r="C1029" t="s">
        <v>3241</v>
      </c>
      <c r="D1029" s="2" t="n">
        <v>632500</v>
      </c>
      <c r="E1029" t="str">
        <f aca="1">INDEX('[1]Data Export (2)'!$A:$K,MATCH(A1029,'[1]Data Export (2)'!$B:$B,0),11)</f>
        <v>Services extérieurs</v>
      </c>
    </row>
    <row r="1030" spans="1:5">
      <c r="A1030" t="s">
        <v>3242</v>
      </c>
      <c r="B1030" t="s">
        <v>3243</v>
      </c>
      <c r="C1030" t="s">
        <v>3244</v>
      </c>
      <c r="D1030" s="2" t="n">
        <v>632600</v>
      </c>
      <c r="E1030" t="str">
        <f aca="1">INDEX('[1]Data Export (2)'!$A:$K,MATCH(A1030,'[1]Data Export (2)'!$B:$B,0),11)</f>
        <v>Services extérieurs</v>
      </c>
    </row>
    <row r="1031" spans="1:5">
      <c r="A1031" t="s">
        <v>3245</v>
      </c>
      <c r="B1031" t="s">
        <v>3246</v>
      </c>
      <c r="C1031" t="s">
        <v>3247</v>
      </c>
      <c r="D1031" s="2" t="n">
        <v>632700</v>
      </c>
      <c r="E1031" t="str">
        <f aca="1">INDEX('[1]Data Export (2)'!$A:$K,MATCH(A1031,'[1]Data Export (2)'!$B:$B,0),11)</f>
        <v>Services extérieurs</v>
      </c>
    </row>
    <row r="1032" spans="1:5">
      <c r="A1032" t="s">
        <v>3248</v>
      </c>
      <c r="B1032" t="s">
        <v>3249</v>
      </c>
      <c r="C1032" t="s">
        <v>3250</v>
      </c>
      <c r="D1032" s="2" t="n">
        <v>632800</v>
      </c>
      <c r="E1032" t="str">
        <f aca="1">INDEX('[1]Data Export (2)'!$A:$K,MATCH(A1032,'[1]Data Export (2)'!$B:$B,0),11)</f>
        <v>Services extérieurs</v>
      </c>
    </row>
    <row r="1033" spans="1:5">
      <c r="A1033" t="s">
        <v>3251</v>
      </c>
      <c r="B1033" t="s">
        <v>3252</v>
      </c>
      <c r="C1033" t="s">
        <v>3253</v>
      </c>
      <c r="D1033" s="2" t="n">
        <v>633000</v>
      </c>
      <c r="E1033" t="str">
        <f aca="1">INDEX('[1]Data Export (2)'!$A:$K,MATCH(A1033,'[1]Data Export (2)'!$B:$B,0),11)</f>
        <v>Services extérieurs</v>
      </c>
    </row>
    <row r="1034" spans="1:5">
      <c r="A1034" t="s">
        <v>3254</v>
      </c>
      <c r="B1034" t="s">
        <v>3255</v>
      </c>
      <c r="C1034" t="s">
        <v>3256</v>
      </c>
      <c r="D1034" s="2" t="n">
        <v>634000</v>
      </c>
      <c r="E1034" t="str">
        <f aca="1">INDEX('[1]Data Export (2)'!$A:$K,MATCH(A1034,'[1]Data Export (2)'!$B:$B,0),11)</f>
        <v>Services extérieurs</v>
      </c>
    </row>
    <row r="1035" spans="1:5">
      <c r="A1035" t="s">
        <v>3257</v>
      </c>
      <c r="B1035" t="s">
        <v>3258</v>
      </c>
      <c r="C1035" t="s">
        <v>3259</v>
      </c>
      <c r="D1035" s="2" t="n">
        <v>634200</v>
      </c>
      <c r="E1035" t="str">
        <f aca="1">INDEX('[1]Data Export (2)'!$A:$K,MATCH(A1035,'[1]Data Export (2)'!$B:$B,0),11)</f>
        <v>Services extérieurs</v>
      </c>
    </row>
    <row r="1036" spans="1:5">
      <c r="A1036" t="s">
        <v>3260</v>
      </c>
      <c r="B1036" t="s">
        <v>3261</v>
      </c>
      <c r="C1036" t="s">
        <v>3262</v>
      </c>
      <c r="D1036" s="2" t="n">
        <v>634300</v>
      </c>
      <c r="E1036" t="str">
        <f aca="1">INDEX('[1]Data Export (2)'!$A:$K,MATCH(A1036,'[1]Data Export (2)'!$B:$B,0),11)</f>
        <v>Services extérieurs</v>
      </c>
    </row>
    <row r="1037" spans="1:5">
      <c r="A1037" t="s">
        <v>3263</v>
      </c>
      <c r="B1037" t="s">
        <v>3264</v>
      </c>
      <c r="C1037" t="s">
        <v>3265</v>
      </c>
      <c r="D1037" s="2" t="n">
        <v>634400</v>
      </c>
      <c r="E1037" t="str">
        <f aca="1">INDEX('[1]Data Export (2)'!$A:$K,MATCH(A1037,'[1]Data Export (2)'!$B:$B,0),11)</f>
        <v>Services extérieurs</v>
      </c>
    </row>
    <row r="1038" spans="1:5">
      <c r="A1038" t="s">
        <v>3266</v>
      </c>
      <c r="B1038" t="s">
        <v>3267</v>
      </c>
      <c r="C1038" t="s">
        <v>3268</v>
      </c>
      <c r="D1038" s="2" t="n">
        <v>634500</v>
      </c>
      <c r="E1038" t="str">
        <f aca="1">INDEX('[1]Data Export (2)'!$A:$K,MATCH(A1038,'[1]Data Export (2)'!$B:$B,0),11)</f>
        <v>Services extérieurs</v>
      </c>
    </row>
    <row r="1039" spans="1:5">
      <c r="A1039" t="s">
        <v>3269</v>
      </c>
      <c r="B1039" t="s">
        <v>3270</v>
      </c>
      <c r="C1039" t="s">
        <v>3271</v>
      </c>
      <c r="D1039" s="2" t="n">
        <v>634600</v>
      </c>
      <c r="E1039" t="str">
        <f aca="1">INDEX('[1]Data Export (2)'!$A:$K,MATCH(A1039,'[1]Data Export (2)'!$B:$B,0),11)</f>
        <v>Services extérieurs</v>
      </c>
    </row>
    <row r="1040" spans="1:5">
      <c r="A1040" t="s">
        <v>3272</v>
      </c>
      <c r="B1040" t="s">
        <v>3273</v>
      </c>
      <c r="C1040" t="s">
        <v>3274</v>
      </c>
      <c r="D1040" s="2" t="n">
        <v>635000</v>
      </c>
      <c r="E1040" t="str">
        <f aca="1">INDEX('[1]Data Export (2)'!$A:$K,MATCH(A1040,'[1]Data Export (2)'!$B:$B,0),11)</f>
        <v>Services extérieurs</v>
      </c>
    </row>
    <row r="1041" spans="1:5">
      <c r="A1041" t="s">
        <v>3275</v>
      </c>
      <c r="B1041" t="s">
        <v>3276</v>
      </c>
      <c r="C1041" t="s">
        <v>3277</v>
      </c>
      <c r="D1041" s="2" t="n">
        <v>635100</v>
      </c>
      <c r="E1041" t="str">
        <f aca="1">INDEX('[1]Data Export (2)'!$A:$K,MATCH(A1041,'[1]Data Export (2)'!$B:$B,0),11)</f>
        <v>Services extérieurs</v>
      </c>
    </row>
    <row r="1042" spans="1:5">
      <c r="A1042" t="s">
        <v>3278</v>
      </c>
      <c r="B1042" t="s">
        <v>3279</v>
      </c>
      <c r="C1042" t="s">
        <v>3280</v>
      </c>
      <c r="D1042" s="2" t="n">
        <v>635800</v>
      </c>
      <c r="E1042" t="str">
        <f aca="1">INDEX('[1]Data Export (2)'!$A:$K,MATCH(A1042,'[1]Data Export (2)'!$B:$B,0),11)</f>
        <v>Services extérieurs</v>
      </c>
    </row>
    <row r="1043" spans="1:5">
      <c r="A1043" t="s">
        <v>3281</v>
      </c>
      <c r="B1043" t="s">
        <v>3282</v>
      </c>
      <c r="C1043" t="s">
        <v>3283</v>
      </c>
      <c r="D1043" s="2" t="n">
        <v>637000</v>
      </c>
      <c r="E1043" t="str">
        <f aca="1">INDEX('[1]Data Export (2)'!$A:$K,MATCH(A1043,'[1]Data Export (2)'!$B:$B,0),11)</f>
        <v>Services extérieurs</v>
      </c>
    </row>
    <row r="1044" spans="1:5">
      <c r="A1044" t="s">
        <v>3284</v>
      </c>
      <c r="B1044" t="s">
        <v>3285</v>
      </c>
      <c r="C1044" t="s">
        <v>3286</v>
      </c>
      <c r="D1044" s="2" t="n">
        <v>637100</v>
      </c>
      <c r="E1044" t="str">
        <f aca="1">INDEX('[1]Data Export (2)'!$A:$K,MATCH(A1044,'[1]Data Export (2)'!$B:$B,0),11)</f>
        <v>Services extérieurs</v>
      </c>
    </row>
    <row r="1045" spans="1:5">
      <c r="A1045" t="s">
        <v>3287</v>
      </c>
      <c r="B1045" t="s">
        <v>3288</v>
      </c>
      <c r="C1045" t="s">
        <v>3289</v>
      </c>
      <c r="D1045" s="2" t="n">
        <v>637200</v>
      </c>
      <c r="E1045" t="str">
        <f aca="1">INDEX('[1]Data Export (2)'!$A:$K,MATCH(A1045,'[1]Data Export (2)'!$B:$B,0),11)</f>
        <v>Services extérieurs</v>
      </c>
    </row>
    <row r="1046" spans="1:5">
      <c r="A1046" t="s">
        <v>3290</v>
      </c>
      <c r="B1046" t="s">
        <v>3291</v>
      </c>
      <c r="C1046" t="s">
        <v>3292</v>
      </c>
      <c r="D1046" s="2" t="n">
        <v>638000</v>
      </c>
      <c r="E1046" t="str">
        <f aca="1">INDEX('[1]Data Export (2)'!$A:$K,MATCH(A1046,'[1]Data Export (2)'!$B:$B,0),11)</f>
        <v>Services extérieurs</v>
      </c>
    </row>
    <row r="1047" spans="1:5">
      <c r="A1047" t="s">
        <v>3293</v>
      </c>
      <c r="B1047" t="s">
        <v>3294</v>
      </c>
      <c r="C1047" t="s">
        <v>3295</v>
      </c>
      <c r="D1047" s="2" t="n">
        <v>638100</v>
      </c>
      <c r="E1047" t="str">
        <f aca="1">INDEX('[1]Data Export (2)'!$A:$K,MATCH(A1047,'[1]Data Export (2)'!$B:$B,0),11)</f>
        <v>Services extérieurs</v>
      </c>
    </row>
    <row r="1048" spans="1:5">
      <c r="A1048" t="s">
        <v>3296</v>
      </c>
      <c r="B1048" t="s">
        <v>3297</v>
      </c>
      <c r="C1048" t="s">
        <v>3298</v>
      </c>
      <c r="D1048" s="2" t="n">
        <v>638200</v>
      </c>
      <c r="E1048" t="str">
        <f aca="1">INDEX('[1]Data Export (2)'!$A:$K,MATCH(A1048,'[1]Data Export (2)'!$B:$B,0),11)</f>
        <v>Services extérieurs</v>
      </c>
    </row>
    <row r="1049" spans="1:5">
      <c r="A1049" t="s">
        <v>3299</v>
      </c>
      <c r="B1049" t="s">
        <v>3300</v>
      </c>
      <c r="C1049" t="s">
        <v>3301</v>
      </c>
      <c r="D1049" s="2" t="n">
        <v>638300</v>
      </c>
      <c r="E1049" t="str">
        <f aca="1">INDEX('[1]Data Export (2)'!$A:$K,MATCH(A1049,'[1]Data Export (2)'!$B:$B,0),11)</f>
        <v>Services extérieurs</v>
      </c>
    </row>
    <row r="1050" spans="1:5">
      <c r="A1050" t="s">
        <v>3302</v>
      </c>
      <c r="B1050" t="s">
        <v>3303</v>
      </c>
      <c r="C1050" t="s">
        <v>3304</v>
      </c>
      <c r="D1050" s="2" t="n">
        <v>638400</v>
      </c>
      <c r="E1050" t="str">
        <f aca="1">INDEX('[1]Data Export (2)'!$A:$K,MATCH(A1050,'[1]Data Export (2)'!$B:$B,0),11)</f>
        <v>Services extérieurs</v>
      </c>
    </row>
    <row r="1051" spans="1:5">
      <c r="A1051" t="s">
        <v>3305</v>
      </c>
      <c r="B1051" t="s">
        <v>3306</v>
      </c>
      <c r="C1051" t="s">
        <v>3307</v>
      </c>
      <c r="D1051" s="2" t="n">
        <v>638500</v>
      </c>
      <c r="E1051" t="str">
        <f aca="1">INDEX('[1]Data Export (2)'!$A:$K,MATCH(A1051,'[1]Data Export (2)'!$B:$B,0),11)</f>
        <v>Services extérieurs</v>
      </c>
    </row>
    <row r="1052" spans="1:4">
      <c r="A1052" t="s">
        <v>3308</v>
      </c>
      <c r="B1052" t="s">
        <v>3309</v>
      </c>
      <c r="C1052" t="s">
        <v>3310</v>
      </c>
      <c r="D1052" s="2" t="n">
        <v>64</v>
      </c>
    </row>
    <row r="1053" spans="1:5">
      <c r="A1053" t="s">
        <v>3311</v>
      </c>
      <c r="B1053" t="s">
        <v>3312</v>
      </c>
      <c r="C1053" t="s">
        <v>3313</v>
      </c>
      <c r="D1053" s="2" t="n">
        <v>641000</v>
      </c>
      <c r="E1053" t="str">
        <f aca="1">INDEX('[1]Data Export (2)'!$A:$K,MATCH(A1053,'[1]Data Export (2)'!$B:$B,0),11)</f>
        <v>Impôts et taxes</v>
      </c>
    </row>
    <row r="1054" spans="1:5">
      <c r="A1054" t="s">
        <v>3314</v>
      </c>
      <c r="B1054" t="s">
        <v>3315</v>
      </c>
      <c r="C1054" t="s">
        <v>3316</v>
      </c>
      <c r="D1054" s="2" t="n">
        <v>641100</v>
      </c>
      <c r="E1054" t="str">
        <f aca="1">INDEX('[1]Data Export (2)'!$A:$K,MATCH(A1054,'[1]Data Export (2)'!$B:$B,0),11)</f>
        <v>Impôts et taxes</v>
      </c>
    </row>
    <row r="1055" spans="1:5">
      <c r="A1055" t="s">
        <v>3317</v>
      </c>
      <c r="B1055" t="s">
        <v>3318</v>
      </c>
      <c r="C1055" t="s">
        <v>3319</v>
      </c>
      <c r="D1055" s="2" t="n">
        <v>641200</v>
      </c>
      <c r="E1055" t="str">
        <f aca="1">INDEX('[1]Data Export (2)'!$A:$K,MATCH(A1055,'[1]Data Export (2)'!$B:$B,0),11)</f>
        <v>Impôts et taxes</v>
      </c>
    </row>
    <row r="1056" spans="1:5">
      <c r="A1056" t="s">
        <v>3320</v>
      </c>
      <c r="B1056" t="s">
        <v>3321</v>
      </c>
      <c r="C1056" t="s">
        <v>3322</v>
      </c>
      <c r="D1056" s="2" t="n">
        <v>641300</v>
      </c>
      <c r="E1056" t="str">
        <f aca="1">INDEX('[1]Data Export (2)'!$A:$K,MATCH(A1056,'[1]Data Export (2)'!$B:$B,0),11)</f>
        <v>Impôts et taxes</v>
      </c>
    </row>
    <row r="1057" spans="1:5">
      <c r="A1057" t="s">
        <v>3323</v>
      </c>
      <c r="B1057" t="s">
        <v>3324</v>
      </c>
      <c r="C1057" t="s">
        <v>3325</v>
      </c>
      <c r="D1057" s="2" t="n">
        <v>641400</v>
      </c>
      <c r="E1057" t="str">
        <f aca="1">INDEX('[1]Data Export (2)'!$A:$K,MATCH(A1057,'[1]Data Export (2)'!$B:$B,0),11)</f>
        <v>Impôts et taxes</v>
      </c>
    </row>
    <row r="1058" spans="1:5">
      <c r="A1058" t="s">
        <v>3326</v>
      </c>
      <c r="B1058" t="s">
        <v>3327</v>
      </c>
      <c r="C1058" t="s">
        <v>3328</v>
      </c>
      <c r="D1058" s="2" t="n">
        <v>641500</v>
      </c>
      <c r="E1058" t="str">
        <f aca="1">INDEX('[1]Data Export (2)'!$A:$K,MATCH(A1058,'[1]Data Export (2)'!$B:$B,0),11)</f>
        <v>Impôts et taxes</v>
      </c>
    </row>
    <row r="1059" spans="1:5">
      <c r="A1059" t="s">
        <v>3329</v>
      </c>
      <c r="B1059" t="s">
        <v>3330</v>
      </c>
      <c r="C1059" t="s">
        <v>3331</v>
      </c>
      <c r="D1059" s="2" t="n">
        <v>641800</v>
      </c>
      <c r="E1059" t="str">
        <f aca="1">INDEX('[1]Data Export (2)'!$A:$K,MATCH(A1059,'[1]Data Export (2)'!$B:$B,0),11)</f>
        <v>Impôts et taxes</v>
      </c>
    </row>
    <row r="1060" spans="1:5">
      <c r="A1060" t="s">
        <v>3332</v>
      </c>
      <c r="B1060" t="s">
        <v>3333</v>
      </c>
      <c r="C1060" t="s">
        <v>3334</v>
      </c>
      <c r="D1060" s="2" t="n">
        <v>645000</v>
      </c>
      <c r="E1060" t="str">
        <f aca="1">INDEX('[1]Data Export (2)'!$A:$K,MATCH(A1060,'[1]Data Export (2)'!$B:$B,0),11)</f>
        <v>Impôts et taxes</v>
      </c>
    </row>
    <row r="1061" spans="1:5">
      <c r="A1061" t="s">
        <v>3335</v>
      </c>
      <c r="B1061" t="s">
        <v>3336</v>
      </c>
      <c r="C1061" t="s">
        <v>3337</v>
      </c>
      <c r="D1061" s="2" t="n">
        <v>646000</v>
      </c>
      <c r="E1061" t="str">
        <f aca="1">INDEX('[1]Data Export (2)'!$A:$K,MATCH(A1061,'[1]Data Export (2)'!$B:$B,0),11)</f>
        <v>Impôts et taxes</v>
      </c>
    </row>
    <row r="1062" spans="1:5">
      <c r="A1062" t="s">
        <v>3338</v>
      </c>
      <c r="B1062" t="s">
        <v>3339</v>
      </c>
      <c r="C1062" t="s">
        <v>3340</v>
      </c>
      <c r="D1062" s="2" t="n">
        <v>646100</v>
      </c>
      <c r="E1062" t="str">
        <f aca="1">INDEX('[1]Data Export (2)'!$A:$K,MATCH(A1062,'[1]Data Export (2)'!$B:$B,0),11)</f>
        <v>Impôts et taxes</v>
      </c>
    </row>
    <row r="1063" spans="1:5">
      <c r="A1063" t="s">
        <v>3341</v>
      </c>
      <c r="B1063" t="s">
        <v>3342</v>
      </c>
      <c r="C1063" t="s">
        <v>3343</v>
      </c>
      <c r="D1063" s="2" t="n">
        <v>646200</v>
      </c>
      <c r="E1063" t="str">
        <f aca="1">INDEX('[1]Data Export (2)'!$A:$K,MATCH(A1063,'[1]Data Export (2)'!$B:$B,0),11)</f>
        <v>Impôts et taxes</v>
      </c>
    </row>
    <row r="1064" spans="1:5">
      <c r="A1064" t="s">
        <v>3344</v>
      </c>
      <c r="B1064" t="s">
        <v>3345</v>
      </c>
      <c r="C1064" t="s">
        <v>3346</v>
      </c>
      <c r="D1064" s="2" t="n">
        <v>646300</v>
      </c>
      <c r="E1064" t="str">
        <f aca="1">INDEX('[1]Data Export (2)'!$A:$K,MATCH(A1064,'[1]Data Export (2)'!$B:$B,0),11)</f>
        <v>Impôts et taxes</v>
      </c>
    </row>
    <row r="1065" spans="1:5">
      <c r="A1065" t="s">
        <v>3347</v>
      </c>
      <c r="B1065" t="s">
        <v>3348</v>
      </c>
      <c r="C1065" t="s">
        <v>3349</v>
      </c>
      <c r="D1065" s="2" t="n">
        <v>646400</v>
      </c>
      <c r="E1065" t="str">
        <f aca="1">INDEX('[1]Data Export (2)'!$A:$K,MATCH(A1065,'[1]Data Export (2)'!$B:$B,0),11)</f>
        <v>Impôts et taxes</v>
      </c>
    </row>
    <row r="1066" spans="1:5">
      <c r="A1066" t="s">
        <v>3350</v>
      </c>
      <c r="B1066" t="s">
        <v>3351</v>
      </c>
      <c r="C1066" t="s">
        <v>3352</v>
      </c>
      <c r="D1066" s="2" t="n">
        <v>646800</v>
      </c>
      <c r="E1066" t="str">
        <f aca="1">INDEX('[1]Data Export (2)'!$A:$K,MATCH(A1066,'[1]Data Export (2)'!$B:$B,0),11)</f>
        <v>Impôts et taxes</v>
      </c>
    </row>
    <row r="1067" spans="1:5">
      <c r="A1067" t="s">
        <v>3353</v>
      </c>
      <c r="B1067" t="s">
        <v>3354</v>
      </c>
      <c r="C1067" t="s">
        <v>3355</v>
      </c>
      <c r="D1067" s="2" t="n">
        <v>647000</v>
      </c>
      <c r="E1067" t="str">
        <f aca="1">INDEX('[1]Data Export (2)'!$A:$K,MATCH(A1067,'[1]Data Export (2)'!$B:$B,0),11)</f>
        <v>Impôts et taxes</v>
      </c>
    </row>
    <row r="1068" spans="1:5">
      <c r="A1068" t="s">
        <v>3356</v>
      </c>
      <c r="B1068" t="s">
        <v>3357</v>
      </c>
      <c r="C1068" t="s">
        <v>3358</v>
      </c>
      <c r="D1068" s="2" t="n">
        <v>647100</v>
      </c>
      <c r="E1068" t="str">
        <f aca="1">INDEX('[1]Data Export (2)'!$A:$K,MATCH(A1068,'[1]Data Export (2)'!$B:$B,0),11)</f>
        <v>Impôts et taxes</v>
      </c>
    </row>
    <row r="1069" spans="1:5">
      <c r="A1069" t="s">
        <v>3359</v>
      </c>
      <c r="B1069" t="s">
        <v>3360</v>
      </c>
      <c r="C1069" t="s">
        <v>3361</v>
      </c>
      <c r="D1069" s="2" t="n">
        <v>647200</v>
      </c>
      <c r="E1069" t="str">
        <f aca="1">INDEX('[1]Data Export (2)'!$A:$K,MATCH(A1069,'[1]Data Export (2)'!$B:$B,0),11)</f>
        <v>Impôts et taxes</v>
      </c>
    </row>
    <row r="1070" spans="1:5">
      <c r="A1070" t="s">
        <v>3362</v>
      </c>
      <c r="B1070" t="s">
        <v>3363</v>
      </c>
      <c r="C1070" t="s">
        <v>3364</v>
      </c>
      <c r="D1070" s="2" t="n">
        <v>647300</v>
      </c>
      <c r="E1070" t="str">
        <f aca="1">INDEX('[1]Data Export (2)'!$A:$K,MATCH(A1070,'[1]Data Export (2)'!$B:$B,0),11)</f>
        <v>Impôts et taxes</v>
      </c>
    </row>
    <row r="1071" spans="1:5">
      <c r="A1071" t="s">
        <v>3365</v>
      </c>
      <c r="B1071" t="s">
        <v>3366</v>
      </c>
      <c r="C1071" t="s">
        <v>3367</v>
      </c>
      <c r="D1071" s="2" t="n">
        <v>647400</v>
      </c>
      <c r="E1071" t="str">
        <f aca="1">INDEX('[1]Data Export (2)'!$A:$K,MATCH(A1071,'[1]Data Export (2)'!$B:$B,0),11)</f>
        <v>Impôts et taxes</v>
      </c>
    </row>
    <row r="1072" spans="1:5">
      <c r="A1072" t="s">
        <v>3368</v>
      </c>
      <c r="B1072" t="s">
        <v>3369</v>
      </c>
      <c r="C1072" t="s">
        <v>3370</v>
      </c>
      <c r="D1072" s="2" t="n">
        <v>647800</v>
      </c>
      <c r="E1072" t="str">
        <f aca="1">INDEX('[1]Data Export (2)'!$A:$K,MATCH(A1072,'[1]Data Export (2)'!$B:$B,0),11)</f>
        <v>Impôts et taxes</v>
      </c>
    </row>
    <row r="1073" spans="1:5">
      <c r="A1073" t="s">
        <v>3371</v>
      </c>
      <c r="B1073" t="s">
        <v>3372</v>
      </c>
      <c r="C1073" t="s">
        <v>3373</v>
      </c>
      <c r="D1073" s="2" t="n">
        <v>648000</v>
      </c>
      <c r="E1073" t="str">
        <f aca="1">INDEX('[1]Data Export (2)'!$A:$K,MATCH(A1073,'[1]Data Export (2)'!$B:$B,0),11)</f>
        <v>Impôts et taxes</v>
      </c>
    </row>
    <row r="1074" spans="1:4">
      <c r="A1074" t="s">
        <v>3374</v>
      </c>
      <c r="B1074" t="s">
        <v>3375</v>
      </c>
      <c r="C1074" t="s">
        <v>3376</v>
      </c>
      <c r="D1074" s="2" t="n">
        <v>65</v>
      </c>
    </row>
    <row r="1075" spans="1:5">
      <c r="A1075" t="s">
        <v>3377</v>
      </c>
      <c r="B1075" t="s">
        <v>3378</v>
      </c>
      <c r="C1075" t="s">
        <v>3379</v>
      </c>
      <c r="D1075" s="2" t="n">
        <v>651000</v>
      </c>
      <c r="E1075" t="str">
        <f aca="1">INDEX('[1]Data Export (2)'!$A:$K,MATCH(A1075,'[1]Data Export (2)'!$B:$B,0),11)</f>
        <v>Autres charges</v>
      </c>
    </row>
    <row r="1076" spans="1:5">
      <c r="A1076" t="s">
        <v>3380</v>
      </c>
      <c r="B1076" t="s">
        <v>3381</v>
      </c>
      <c r="C1076" t="s">
        <v>3382</v>
      </c>
      <c r="D1076" s="2" t="n">
        <v>651100</v>
      </c>
      <c r="E1076" t="str">
        <f aca="1">INDEX('[1]Data Export (2)'!$A:$K,MATCH(A1076,'[1]Data Export (2)'!$B:$B,0),11)</f>
        <v>Autres charges</v>
      </c>
    </row>
    <row r="1077" spans="1:5">
      <c r="A1077" t="s">
        <v>3383</v>
      </c>
      <c r="B1077" t="s">
        <v>3384</v>
      </c>
      <c r="C1077" t="s">
        <v>3385</v>
      </c>
      <c r="D1077" s="2" t="n">
        <v>651500</v>
      </c>
      <c r="E1077" t="str">
        <f aca="1">INDEX('[1]Data Export (2)'!$A:$K,MATCH(A1077,'[1]Data Export (2)'!$B:$B,0),11)</f>
        <v>Autres charges</v>
      </c>
    </row>
    <row r="1078" spans="1:5">
      <c r="A1078" t="s">
        <v>3386</v>
      </c>
      <c r="B1078" t="s">
        <v>3387</v>
      </c>
      <c r="C1078" t="s">
        <v>3388</v>
      </c>
      <c r="D1078" s="2" t="n">
        <v>652000</v>
      </c>
      <c r="E1078" t="str">
        <f aca="1">INDEX('[1]Data Export (2)'!$A:$K,MATCH(D1078,'[1]Data Export (2)'!$F:$F,0),11)</f>
        <v>Autres charges</v>
      </c>
    </row>
    <row r="1079" spans="1:5">
      <c r="A1079" t="s">
        <v>3389</v>
      </c>
      <c r="B1079" t="s">
        <v>3390</v>
      </c>
      <c r="C1079" t="s">
        <v>3391</v>
      </c>
      <c r="D1079" s="2" t="n">
        <v>652100</v>
      </c>
      <c r="E1079" t="str">
        <f aca="1">INDEX('[1]Data Export (2)'!$A:$K,MATCH(D1079,'[1]Data Export (2)'!$F:$F,0),11)</f>
        <v>Autres charges</v>
      </c>
    </row>
    <row r="1080" spans="1:5">
      <c r="A1080" t="s">
        <v>3392</v>
      </c>
      <c r="B1080" t="s">
        <v>3393</v>
      </c>
      <c r="C1080" t="s">
        <v>3394</v>
      </c>
      <c r="D1080" s="2" t="n">
        <v>652500</v>
      </c>
      <c r="E1080" t="str">
        <f aca="1">INDEX('[1]Data Export (2)'!$A:$K,MATCH(A1080,'[1]Data Export (2)'!$B:$B,0),11)</f>
        <v>Autres charges</v>
      </c>
    </row>
    <row r="1081" spans="1:5">
      <c r="A1081" t="s">
        <v>3395</v>
      </c>
      <c r="B1081" t="s">
        <v>3396</v>
      </c>
      <c r="C1081" t="s">
        <v>3397</v>
      </c>
      <c r="D1081" s="2" t="n">
        <v>654000</v>
      </c>
      <c r="E1081" t="str">
        <f aca="1">INDEX('[1]Data Export (2)'!$A:$K,MATCH(A1081,'[1]Data Export (2)'!$B:$B,0),11)</f>
        <v>Autres charges</v>
      </c>
    </row>
    <row r="1082" spans="1:5">
      <c r="A1082" t="s">
        <v>3398</v>
      </c>
      <c r="B1082" t="s">
        <v>3399</v>
      </c>
      <c r="C1082" t="s">
        <v>3400</v>
      </c>
      <c r="D1082" s="2" t="n">
        <v>654100</v>
      </c>
      <c r="E1082" t="str">
        <f aca="1">INDEX('[1]Data Export (2)'!$A:$K,MATCH(A1082,'[1]Data Export (2)'!$B:$B,0),11)</f>
        <v>Autres charges</v>
      </c>
    </row>
    <row r="1083" spans="1:5">
      <c r="A1083" t="s">
        <v>3401</v>
      </c>
      <c r="B1083" t="s">
        <v>3402</v>
      </c>
      <c r="C1083" t="s">
        <v>3403</v>
      </c>
      <c r="D1083" s="2" t="n">
        <v>654200</v>
      </c>
      <c r="E1083" t="str">
        <f aca="1">INDEX('[1]Data Export (2)'!$A:$K,MATCH(A1083,'[1]Data Export (2)'!$B:$B,0),11)</f>
        <v>Autres charges</v>
      </c>
    </row>
    <row r="1084" spans="1:5">
      <c r="A1084" t="s">
        <v>3404</v>
      </c>
      <c r="B1084" t="s">
        <v>3405</v>
      </c>
      <c r="C1084" t="s">
        <v>3406</v>
      </c>
      <c r="D1084" s="2" t="n">
        <v>656000</v>
      </c>
      <c r="E1084" t="str">
        <f aca="1">INDEX('[1]Data Export (2)'!$A:$K,MATCH(A1084,'[1]Data Export (2)'!$B:$B,0),11)</f>
        <v>Autres charges</v>
      </c>
    </row>
    <row r="1085" spans="1:5">
      <c r="A1085" t="s">
        <v>3407</v>
      </c>
      <c r="B1085" t="s">
        <v>3408</v>
      </c>
      <c r="C1085" t="s">
        <v>3409</v>
      </c>
      <c r="D1085" s="2" t="n">
        <v>657000</v>
      </c>
      <c r="E1085" t="str">
        <f aca="1">INDEX('[1]Data Export (2)'!$A:$K,MATCH(A1085,'[1]Data Export (2)'!$B:$B,0),11)</f>
        <v>Autres charges</v>
      </c>
    </row>
    <row r="1086" spans="1:5">
      <c r="A1086" t="s">
        <v>3410</v>
      </c>
      <c r="B1086" t="s">
        <v>3411</v>
      </c>
      <c r="C1086" t="s">
        <v>3412</v>
      </c>
      <c r="D1086" s="2" t="n">
        <v>658000</v>
      </c>
      <c r="E1086" t="str">
        <f aca="1">INDEX('[1]Data Export (2)'!$A:$K,MATCH(A1086,'[1]Data Export (2)'!$B:$B,0),11)</f>
        <v>Autres charges</v>
      </c>
    </row>
    <row r="1087" spans="1:5">
      <c r="A1087" t="s">
        <v>3413</v>
      </c>
      <c r="B1087" t="s">
        <v>3414</v>
      </c>
      <c r="C1087" t="s">
        <v>3415</v>
      </c>
      <c r="D1087" s="2" t="n">
        <v>658100</v>
      </c>
      <c r="E1087" t="str">
        <f aca="1">INDEX('[1]Data Export (2)'!$A:$K,MATCH(A1087,'[1]Data Export (2)'!$B:$B,0),11)</f>
        <v>Autres charges</v>
      </c>
    </row>
    <row r="1088" spans="1:5">
      <c r="A1088" t="s">
        <v>3416</v>
      </c>
      <c r="B1088" t="s">
        <v>3417</v>
      </c>
      <c r="C1088" t="s">
        <v>3418</v>
      </c>
      <c r="D1088" s="2" t="n">
        <v>658200</v>
      </c>
      <c r="E1088" t="str">
        <f aca="1">INDEX('[1]Data Export (2)'!$A:$K,MATCH(A1088,'[1]Data Export (2)'!$B:$B,0),11)</f>
        <v>Autres charges</v>
      </c>
    </row>
    <row r="1089" spans="1:5">
      <c r="A1089" t="s">
        <v>3419</v>
      </c>
      <c r="B1089" t="s">
        <v>3420</v>
      </c>
      <c r="C1089" t="s">
        <v>3421</v>
      </c>
      <c r="D1089" s="2" t="n">
        <v>658300</v>
      </c>
      <c r="E1089" t="str">
        <f aca="1">INDEX('[1]Data Export (2)'!$A:$K,MATCH(A1089,'[1]Data Export (2)'!$B:$B,0),11)</f>
        <v>Autres charges</v>
      </c>
    </row>
    <row r="1090" spans="1:5">
      <c r="A1090" t="s">
        <v>3422</v>
      </c>
      <c r="B1090" t="s">
        <v>3423</v>
      </c>
      <c r="C1090" t="s">
        <v>3424</v>
      </c>
      <c r="D1090" s="2" t="n">
        <v>658800</v>
      </c>
      <c r="E1090" t="str">
        <f aca="1">INDEX('[1]Data Export (2)'!$A:$K,MATCH(A1090,'[1]Data Export (2)'!$B:$B,0),11)</f>
        <v>Autres charges</v>
      </c>
    </row>
    <row r="1091" spans="1:5">
      <c r="A1091" t="s">
        <v>3425</v>
      </c>
      <c r="B1091" t="s">
        <v>3426</v>
      </c>
      <c r="C1091" t="s">
        <v>3427</v>
      </c>
      <c r="D1091" s="2" t="n">
        <v>659000</v>
      </c>
      <c r="E1091" t="str">
        <f aca="1">INDEX('[1]Data Export (2)'!$A:$K,MATCH(A1091,'[1]Data Export (2)'!$B:$B,0),11)</f>
        <v>Autres charges</v>
      </c>
    </row>
    <row r="1092" spans="1:5">
      <c r="A1092" t="s">
        <v>3428</v>
      </c>
      <c r="B1092" t="s">
        <v>3429</v>
      </c>
      <c r="C1092" t="s">
        <v>3430</v>
      </c>
      <c r="D1092" s="2" t="n">
        <v>659100</v>
      </c>
      <c r="E1092" t="str">
        <f aca="1">INDEX('[1]Data Export (2)'!$A:$K,MATCH(A1092,'[1]Data Export (2)'!$B:$B,0),11)</f>
        <v>Autres charges</v>
      </c>
    </row>
    <row r="1093" spans="1:5">
      <c r="A1093" t="s">
        <v>3431</v>
      </c>
      <c r="B1093" t="s">
        <v>3432</v>
      </c>
      <c r="C1093" t="s">
        <v>3433</v>
      </c>
      <c r="D1093" s="2" t="n">
        <v>659300</v>
      </c>
      <c r="E1093" t="str">
        <f aca="1">INDEX('[1]Data Export (2)'!$A:$K,MATCH(A1093,'[1]Data Export (2)'!$B:$B,0),11)</f>
        <v>Autres charges</v>
      </c>
    </row>
    <row r="1094" spans="1:5">
      <c r="A1094" t="s">
        <v>3434</v>
      </c>
      <c r="B1094" t="s">
        <v>3435</v>
      </c>
      <c r="C1094" t="s">
        <v>3436</v>
      </c>
      <c r="D1094" s="2" t="n">
        <v>659400</v>
      </c>
      <c r="E1094" t="str">
        <f aca="1">INDEX('[1]Data Export (2)'!$A:$K,MATCH(A1094,'[1]Data Export (2)'!$B:$B,0),11)</f>
        <v>Autres charges</v>
      </c>
    </row>
    <row r="1095" spans="1:5">
      <c r="A1095" t="s">
        <v>3437</v>
      </c>
      <c r="B1095" t="s">
        <v>3438</v>
      </c>
      <c r="C1095" t="s">
        <v>3439</v>
      </c>
      <c r="D1095" s="2" t="n">
        <v>659800</v>
      </c>
      <c r="E1095" t="str">
        <f aca="1">INDEX('[1]Data Export (2)'!$A:$K,MATCH(A1095,'[1]Data Export (2)'!$B:$B,0),11)</f>
        <v>Autres charges</v>
      </c>
    </row>
    <row r="1096" spans="1:4">
      <c r="A1096" t="s">
        <v>3440</v>
      </c>
      <c r="B1096" t="s">
        <v>3441</v>
      </c>
      <c r="C1096" t="s">
        <v>3442</v>
      </c>
      <c r="D1096" s="2" t="n">
        <v>66</v>
      </c>
    </row>
    <row r="1097" spans="1:5">
      <c r="A1097" t="s">
        <v>3443</v>
      </c>
      <c r="B1097" t="s">
        <v>3444</v>
      </c>
      <c r="C1097" t="s">
        <v>3445</v>
      </c>
      <c r="D1097" s="2" t="n">
        <v>661000</v>
      </c>
      <c r="E1097" t="str">
        <f aca="1">INDEX('[1]Data Export (2)'!$A:$K,MATCH(A1097,'[1]Data Export (2)'!$B:$B,0),11)</f>
        <v>Charges de personnel</v>
      </c>
    </row>
    <row r="1098" spans="1:5">
      <c r="A1098" t="s">
        <v>3446</v>
      </c>
      <c r="B1098" t="s">
        <v>3447</v>
      </c>
      <c r="C1098" t="s">
        <v>3448</v>
      </c>
      <c r="D1098" s="2" t="n">
        <v>661100</v>
      </c>
      <c r="E1098" t="str">
        <f aca="1">INDEX('[1]Data Export (2)'!$A:$K,MATCH(A1098,'[1]Data Export (2)'!$B:$B,0),11)</f>
        <v>Charges de personnel</v>
      </c>
    </row>
    <row r="1099" spans="1:5">
      <c r="A1099" t="s">
        <v>3449</v>
      </c>
      <c r="B1099" t="s">
        <v>3450</v>
      </c>
      <c r="C1099" t="s">
        <v>3451</v>
      </c>
      <c r="D1099" s="2" t="n">
        <v>661200</v>
      </c>
      <c r="E1099" t="str">
        <f aca="1">INDEX('[1]Data Export (2)'!$A:$K,MATCH(A1099,'[1]Data Export (2)'!$B:$B,0),11)</f>
        <v>Charges de personnel</v>
      </c>
    </row>
    <row r="1100" spans="1:5">
      <c r="A1100" t="s">
        <v>3452</v>
      </c>
      <c r="B1100" t="s">
        <v>3453</v>
      </c>
      <c r="C1100" t="s">
        <v>3454</v>
      </c>
      <c r="D1100" s="2" t="n">
        <v>661300</v>
      </c>
      <c r="E1100" t="str">
        <f aca="1">INDEX('[1]Data Export (2)'!$A:$K,MATCH(A1100,'[1]Data Export (2)'!$B:$B,0),11)</f>
        <v>Charges de personnel</v>
      </c>
    </row>
    <row r="1101" spans="1:5">
      <c r="A1101" t="s">
        <v>3455</v>
      </c>
      <c r="B1101" t="s">
        <v>3456</v>
      </c>
      <c r="C1101" t="s">
        <v>3457</v>
      </c>
      <c r="D1101" s="2" t="n">
        <v>661400</v>
      </c>
      <c r="E1101" t="str">
        <f aca="1">INDEX('[1]Data Export (2)'!$A:$K,MATCH(A1101,'[1]Data Export (2)'!$B:$B,0),11)</f>
        <v>Charges de personnel</v>
      </c>
    </row>
    <row r="1102" spans="1:5">
      <c r="A1102" t="s">
        <v>3458</v>
      </c>
      <c r="B1102" t="s">
        <v>3459</v>
      </c>
      <c r="C1102" t="s">
        <v>3460</v>
      </c>
      <c r="D1102" s="2" t="n">
        <v>661500</v>
      </c>
      <c r="E1102" t="str">
        <f aca="1">INDEX('[1]Data Export (2)'!$A:$K,MATCH(A1102,'[1]Data Export (2)'!$B:$B,0),11)</f>
        <v>Charges de personnel</v>
      </c>
    </row>
    <row r="1103" spans="1:5">
      <c r="A1103" t="s">
        <v>3461</v>
      </c>
      <c r="B1103" t="s">
        <v>3462</v>
      </c>
      <c r="C1103" t="s">
        <v>3463</v>
      </c>
      <c r="D1103" s="2" t="n">
        <v>661600</v>
      </c>
      <c r="E1103" t="str">
        <f aca="1">INDEX('[1]Data Export (2)'!$A:$K,MATCH(A1103,'[1]Data Export (2)'!$B:$B,0),11)</f>
        <v>Charges de personnel</v>
      </c>
    </row>
    <row r="1104" spans="1:5">
      <c r="A1104" t="s">
        <v>3464</v>
      </c>
      <c r="B1104" t="s">
        <v>3465</v>
      </c>
      <c r="C1104" t="s">
        <v>3466</v>
      </c>
      <c r="D1104" s="2" t="n">
        <v>661700</v>
      </c>
      <c r="E1104" t="str">
        <f aca="1">INDEX('[1]Data Export (2)'!$A:$K,MATCH(A1104,'[1]Data Export (2)'!$B:$B,0),11)</f>
        <v>Charges de personnel</v>
      </c>
    </row>
    <row r="1105" spans="1:5">
      <c r="A1105" t="s">
        <v>3467</v>
      </c>
      <c r="B1105" t="s">
        <v>3468</v>
      </c>
      <c r="C1105" t="s">
        <v>3469</v>
      </c>
      <c r="D1105" s="2" t="n">
        <v>661800</v>
      </c>
      <c r="E1105" t="str">
        <f aca="1">INDEX('[1]Data Export (2)'!$A:$K,MATCH(A1105,'[1]Data Export (2)'!$B:$B,0),11)</f>
        <v>Charges de personnel</v>
      </c>
    </row>
    <row r="1106" spans="1:5">
      <c r="A1106" t="s">
        <v>3470</v>
      </c>
      <c r="B1106" t="s">
        <v>3471</v>
      </c>
      <c r="C1106" t="s">
        <v>3472</v>
      </c>
      <c r="D1106" s="2" t="n">
        <v>662000</v>
      </c>
      <c r="E1106" t="str">
        <f aca="1">INDEX('[1]Data Export (2)'!$A:$K,MATCH(A1106,'[1]Data Export (2)'!$B:$B,0),11)</f>
        <v>Charges de personnel</v>
      </c>
    </row>
    <row r="1107" spans="1:5">
      <c r="A1107" t="s">
        <v>3473</v>
      </c>
      <c r="B1107" t="s">
        <v>3474</v>
      </c>
      <c r="C1107" t="s">
        <v>3475</v>
      </c>
      <c r="D1107" s="2" t="n">
        <v>662100</v>
      </c>
      <c r="E1107" t="str">
        <f aca="1">INDEX('[1]Data Export (2)'!$A:$K,MATCH(A1107,'[1]Data Export (2)'!$B:$B,0),11)</f>
        <v>Charges de personnel</v>
      </c>
    </row>
    <row r="1108" spans="1:5">
      <c r="A1108" t="s">
        <v>3476</v>
      </c>
      <c r="B1108" t="s">
        <v>3477</v>
      </c>
      <c r="C1108" t="s">
        <v>3478</v>
      </c>
      <c r="D1108" s="2" t="n">
        <v>662200</v>
      </c>
      <c r="E1108" t="str">
        <f aca="1">INDEX('[1]Data Export (2)'!$A:$K,MATCH(A1108,'[1]Data Export (2)'!$B:$B,0),11)</f>
        <v>Charges de personnel</v>
      </c>
    </row>
    <row r="1109" spans="1:5">
      <c r="A1109" t="s">
        <v>3479</v>
      </c>
      <c r="B1109" t="s">
        <v>3480</v>
      </c>
      <c r="C1109" t="s">
        <v>3481</v>
      </c>
      <c r="D1109" s="2" t="n">
        <v>662300</v>
      </c>
      <c r="E1109" t="str">
        <f aca="1">INDEX('[1]Data Export (2)'!$A:$K,MATCH(A1109,'[1]Data Export (2)'!$B:$B,0),11)</f>
        <v>Charges de personnel</v>
      </c>
    </row>
    <row r="1110" spans="1:5">
      <c r="A1110" t="s">
        <v>3482</v>
      </c>
      <c r="B1110" t="s">
        <v>3483</v>
      </c>
      <c r="C1110" t="s">
        <v>3484</v>
      </c>
      <c r="D1110" s="2" t="n">
        <v>662400</v>
      </c>
      <c r="E1110" t="str">
        <f aca="1">INDEX('[1]Data Export (2)'!$A:$K,MATCH(A1110,'[1]Data Export (2)'!$B:$B,0),11)</f>
        <v>Charges de personnel</v>
      </c>
    </row>
    <row r="1111" spans="1:5">
      <c r="A1111" t="s">
        <v>3485</v>
      </c>
      <c r="B1111" t="s">
        <v>3486</v>
      </c>
      <c r="C1111" t="s">
        <v>3487</v>
      </c>
      <c r="D1111" s="2" t="n">
        <v>662500</v>
      </c>
      <c r="E1111" t="str">
        <f aca="1">INDEX('[1]Data Export (2)'!$A:$K,MATCH(A1111,'[1]Data Export (2)'!$B:$B,0),11)</f>
        <v>Charges de personnel</v>
      </c>
    </row>
    <row r="1112" spans="1:5">
      <c r="A1112" t="s">
        <v>3488</v>
      </c>
      <c r="B1112" t="s">
        <v>3489</v>
      </c>
      <c r="C1112" t="s">
        <v>3490</v>
      </c>
      <c r="D1112" s="2" t="n">
        <v>662600</v>
      </c>
      <c r="E1112" t="str">
        <f aca="1">INDEX('[1]Data Export (2)'!$A:$K,MATCH(A1112,'[1]Data Export (2)'!$B:$B,0),11)</f>
        <v>Charges de personnel</v>
      </c>
    </row>
    <row r="1113" spans="1:5">
      <c r="A1113" t="s">
        <v>3491</v>
      </c>
      <c r="B1113" t="s">
        <v>3492</v>
      </c>
      <c r="C1113" t="s">
        <v>3493</v>
      </c>
      <c r="D1113" s="2" t="n">
        <v>662700</v>
      </c>
      <c r="E1113" t="str">
        <f aca="1">INDEX('[1]Data Export (2)'!$A:$K,MATCH(A1113,'[1]Data Export (2)'!$B:$B,0),11)</f>
        <v>Charges de personnel</v>
      </c>
    </row>
    <row r="1114" spans="1:5">
      <c r="A1114" t="s">
        <v>3494</v>
      </c>
      <c r="B1114" t="s">
        <v>3495</v>
      </c>
      <c r="C1114" t="s">
        <v>3496</v>
      </c>
      <c r="D1114" s="2" t="n">
        <v>662800</v>
      </c>
      <c r="E1114" t="str">
        <f aca="1">INDEX('[1]Data Export (2)'!$A:$K,MATCH(A1114,'[1]Data Export (2)'!$B:$B,0),11)</f>
        <v>Charges de personnel</v>
      </c>
    </row>
    <row r="1115" spans="1:5">
      <c r="A1115" t="s">
        <v>3497</v>
      </c>
      <c r="B1115" t="s">
        <v>3498</v>
      </c>
      <c r="C1115" t="s">
        <v>3499</v>
      </c>
      <c r="D1115" s="2" t="n">
        <v>663000</v>
      </c>
      <c r="E1115" t="str">
        <f aca="1">INDEX('[1]Data Export (2)'!$A:$K,MATCH(A1115,'[1]Data Export (2)'!$B:$B,0),11)</f>
        <v>Charges de personnel</v>
      </c>
    </row>
    <row r="1116" spans="1:5">
      <c r="A1116" t="s">
        <v>3500</v>
      </c>
      <c r="B1116" t="s">
        <v>3501</v>
      </c>
      <c r="C1116" t="s">
        <v>3502</v>
      </c>
      <c r="D1116" s="2" t="n">
        <v>663100</v>
      </c>
      <c r="E1116" t="str">
        <f aca="1">INDEX('[1]Data Export (2)'!$A:$K,MATCH(A1116,'[1]Data Export (2)'!$B:$B,0),11)</f>
        <v>Charges de personnel</v>
      </c>
    </row>
    <row r="1117" spans="1:5">
      <c r="A1117" t="s">
        <v>3503</v>
      </c>
      <c r="B1117" t="s">
        <v>3504</v>
      </c>
      <c r="C1117" t="s">
        <v>3505</v>
      </c>
      <c r="D1117" s="2" t="n">
        <v>663200</v>
      </c>
      <c r="E1117" t="str">
        <f aca="1">INDEX('[1]Data Export (2)'!$A:$K,MATCH(A1117,'[1]Data Export (2)'!$B:$B,0),11)</f>
        <v>Charges de personnel</v>
      </c>
    </row>
    <row r="1118" spans="1:5">
      <c r="A1118" t="s">
        <v>3506</v>
      </c>
      <c r="B1118" t="s">
        <v>3507</v>
      </c>
      <c r="C1118" t="s">
        <v>3508</v>
      </c>
      <c r="D1118" s="2" t="n">
        <v>663300</v>
      </c>
      <c r="E1118" t="str">
        <f aca="1">INDEX('[1]Data Export (2)'!$A:$K,MATCH(A1118,'[1]Data Export (2)'!$B:$B,0),11)</f>
        <v>Charges de personnel</v>
      </c>
    </row>
    <row r="1119" spans="1:5">
      <c r="A1119" t="s">
        <v>3509</v>
      </c>
      <c r="B1119" t="s">
        <v>3510</v>
      </c>
      <c r="C1119" t="s">
        <v>3511</v>
      </c>
      <c r="D1119" s="2" t="n">
        <v>663400</v>
      </c>
      <c r="E1119" t="str">
        <f aca="1">INDEX('[1]Data Export (2)'!$A:$K,MATCH(A1119,'[1]Data Export (2)'!$B:$B,0),11)</f>
        <v>Charges de personnel</v>
      </c>
    </row>
    <row r="1120" spans="1:5">
      <c r="A1120" t="s">
        <v>3512</v>
      </c>
      <c r="B1120" t="s">
        <v>3513</v>
      </c>
      <c r="C1120" t="s">
        <v>3514</v>
      </c>
      <c r="D1120" s="2" t="n">
        <v>663800</v>
      </c>
      <c r="E1120" t="str">
        <f aca="1">INDEX('[1]Data Export (2)'!$A:$K,MATCH(A1120,'[1]Data Export (2)'!$B:$B,0),11)</f>
        <v>Charges de personnel</v>
      </c>
    </row>
    <row r="1121" spans="1:5">
      <c r="A1121" t="s">
        <v>3515</v>
      </c>
      <c r="B1121" t="s">
        <v>3516</v>
      </c>
      <c r="C1121" t="s">
        <v>3517</v>
      </c>
      <c r="D1121" s="2" t="n">
        <v>664000</v>
      </c>
      <c r="E1121" t="str">
        <f aca="1">INDEX('[1]Data Export (2)'!$A:$K,MATCH(A1121,'[1]Data Export (2)'!$B:$B,0),11)</f>
        <v>Charges de personnel</v>
      </c>
    </row>
    <row r="1122" spans="1:5">
      <c r="A1122" t="s">
        <v>3518</v>
      </c>
      <c r="B1122" t="s">
        <v>3519</v>
      </c>
      <c r="C1122" t="s">
        <v>3520</v>
      </c>
      <c r="D1122" s="2" t="n">
        <v>664100</v>
      </c>
      <c r="E1122" t="str">
        <f aca="1">INDEX('[1]Data Export (2)'!$A:$K,MATCH(A1122,'[1]Data Export (2)'!$B:$B,0),11)</f>
        <v>Charges de personnel</v>
      </c>
    </row>
    <row r="1123" spans="1:5">
      <c r="A1123" t="s">
        <v>3521</v>
      </c>
      <c r="B1123" t="s">
        <v>3522</v>
      </c>
      <c r="C1123" t="s">
        <v>3523</v>
      </c>
      <c r="D1123" s="2" t="n">
        <v>664200</v>
      </c>
      <c r="E1123" t="str">
        <f aca="1">INDEX('[1]Data Export (2)'!$A:$K,MATCH(A1123,'[1]Data Export (2)'!$B:$B,0),11)</f>
        <v>Charges de personnel</v>
      </c>
    </row>
    <row r="1124" spans="1:5">
      <c r="A1124" t="s">
        <v>3524</v>
      </c>
      <c r="B1124" t="s">
        <v>3525</v>
      </c>
      <c r="C1124" t="s">
        <v>3526</v>
      </c>
      <c r="D1124" s="2" t="n">
        <v>666000</v>
      </c>
      <c r="E1124" t="str">
        <f aca="1">INDEX('[1]Data Export (2)'!$A:$K,MATCH(A1124,'[1]Data Export (2)'!$B:$B,0),11)</f>
        <v>Charges de personnel</v>
      </c>
    </row>
    <row r="1125" spans="1:5">
      <c r="A1125" t="s">
        <v>3527</v>
      </c>
      <c r="B1125" t="s">
        <v>3528</v>
      </c>
      <c r="C1125" t="s">
        <v>3529</v>
      </c>
      <c r="D1125" s="2" t="n">
        <v>666100</v>
      </c>
      <c r="E1125" t="str">
        <f aca="1">INDEX('[1]Data Export (2)'!$A:$K,MATCH(A1125,'[1]Data Export (2)'!$B:$B,0),11)</f>
        <v>Charges de personnel</v>
      </c>
    </row>
    <row r="1126" spans="1:5">
      <c r="A1126" t="s">
        <v>3530</v>
      </c>
      <c r="B1126" t="s">
        <v>3531</v>
      </c>
      <c r="C1126" t="s">
        <v>3532</v>
      </c>
      <c r="D1126" s="2" t="n">
        <v>666200</v>
      </c>
      <c r="E1126" t="str">
        <f aca="1">INDEX('[1]Data Export (2)'!$A:$K,MATCH(A1126,'[1]Data Export (2)'!$B:$B,0),11)</f>
        <v>Charges de personnel</v>
      </c>
    </row>
    <row r="1127" spans="1:5">
      <c r="A1127" t="s">
        <v>3533</v>
      </c>
      <c r="B1127" t="s">
        <v>3534</v>
      </c>
      <c r="C1127" t="s">
        <v>3535</v>
      </c>
      <c r="D1127" s="2" t="n">
        <v>667000</v>
      </c>
      <c r="E1127" t="str">
        <f aca="1">INDEX('[1]Data Export (2)'!$A:$K,MATCH(A1127,'[1]Data Export (2)'!$B:$B,0),11)</f>
        <v>Charges de personnel</v>
      </c>
    </row>
    <row r="1128" spans="1:5">
      <c r="A1128" t="s">
        <v>3536</v>
      </c>
      <c r="B1128" t="s">
        <v>3537</v>
      </c>
      <c r="C1128" t="s">
        <v>3538</v>
      </c>
      <c r="D1128" s="2" t="n">
        <v>667100</v>
      </c>
      <c r="E1128" t="str">
        <f aca="1">INDEX('[1]Data Export (2)'!$A:$K,MATCH(A1128,'[1]Data Export (2)'!$B:$B,0),11)</f>
        <v>Charges de personnel</v>
      </c>
    </row>
    <row r="1129" spans="1:5">
      <c r="A1129" t="s">
        <v>3539</v>
      </c>
      <c r="B1129" t="s">
        <v>3540</v>
      </c>
      <c r="C1129" t="s">
        <v>3541</v>
      </c>
      <c r="D1129" s="2" t="n">
        <v>667200</v>
      </c>
      <c r="E1129" t="str">
        <f aca="1">INDEX('[1]Data Export (2)'!$A:$K,MATCH(A1129,'[1]Data Export (2)'!$B:$B,0),11)</f>
        <v>Charges de personnel</v>
      </c>
    </row>
    <row r="1130" spans="1:5">
      <c r="A1130" t="s">
        <v>3542</v>
      </c>
      <c r="B1130" t="s">
        <v>3543</v>
      </c>
      <c r="C1130" t="s">
        <v>3544</v>
      </c>
      <c r="D1130" s="2" t="n">
        <v>668000</v>
      </c>
      <c r="E1130" t="str">
        <f aca="1">INDEX('[1]Data Export (2)'!$A:$K,MATCH(A1130,'[1]Data Export (2)'!$B:$B,0),11)</f>
        <v>Charges de personnel</v>
      </c>
    </row>
    <row r="1131" spans="1:5">
      <c r="A1131" t="s">
        <v>3545</v>
      </c>
      <c r="B1131" t="s">
        <v>3546</v>
      </c>
      <c r="C1131" t="s">
        <v>3547</v>
      </c>
      <c r="D1131" s="2" t="n">
        <v>668100</v>
      </c>
      <c r="E1131" t="str">
        <f aca="1">INDEX('[1]Data Export (2)'!$A:$K,MATCH(A1131,'[1]Data Export (2)'!$B:$B,0),11)</f>
        <v>Charges de personnel</v>
      </c>
    </row>
    <row r="1132" spans="1:5">
      <c r="A1132" t="s">
        <v>3548</v>
      </c>
      <c r="B1132" t="s">
        <v>3549</v>
      </c>
      <c r="C1132" t="s">
        <v>3550</v>
      </c>
      <c r="D1132" s="2" t="n">
        <v>668200</v>
      </c>
      <c r="E1132" t="str">
        <f aca="1">INDEX('[1]Data Export (2)'!$A:$K,MATCH(A1132,'[1]Data Export (2)'!$B:$B,0),11)</f>
        <v>Charges de personnel</v>
      </c>
    </row>
    <row r="1133" spans="1:5">
      <c r="A1133" t="s">
        <v>3551</v>
      </c>
      <c r="B1133" t="s">
        <v>3552</v>
      </c>
      <c r="C1133" t="s">
        <v>3553</v>
      </c>
      <c r="D1133" s="2" t="n">
        <v>668300</v>
      </c>
      <c r="E1133" t="str">
        <f aca="1">INDEX('[1]Data Export (2)'!$A:$K,MATCH(A1133,'[1]Data Export (2)'!$B:$B,0),11)</f>
        <v>Charges de personnel</v>
      </c>
    </row>
    <row r="1134" spans="1:5">
      <c r="A1134" t="s">
        <v>3554</v>
      </c>
      <c r="B1134" t="s">
        <v>3555</v>
      </c>
      <c r="C1134" t="s">
        <v>3556</v>
      </c>
      <c r="D1134" s="2" t="n">
        <v>668400</v>
      </c>
      <c r="E1134" t="str">
        <f aca="1">INDEX('[1]Data Export (2)'!$A:$K,MATCH(A1134,'[1]Data Export (2)'!$B:$B,0),11)</f>
        <v>Charges de personnel</v>
      </c>
    </row>
    <row r="1135" spans="1:5">
      <c r="A1135" t="s">
        <v>3557</v>
      </c>
      <c r="B1135" t="s">
        <v>3558</v>
      </c>
      <c r="C1135" t="s">
        <v>3559</v>
      </c>
      <c r="D1135" s="2" t="n">
        <v>668500</v>
      </c>
      <c r="E1135" t="str">
        <f aca="1">INDEX('[1]Data Export (2)'!$A:$K,MATCH(A1135,'[1]Data Export (2)'!$B:$B,0),11)</f>
        <v>Charges de personnel</v>
      </c>
    </row>
    <row r="1136" spans="1:5">
      <c r="A1136" t="s">
        <v>3560</v>
      </c>
      <c r="B1136" t="s">
        <v>3561</v>
      </c>
      <c r="C1136" t="s">
        <v>3562</v>
      </c>
      <c r="D1136" s="2" t="n">
        <v>668600</v>
      </c>
      <c r="E1136" t="str">
        <f aca="1">INDEX('[1]Data Export (2)'!$A:$K,MATCH(A1136,'[1]Data Export (2)'!$B:$B,0),11)</f>
        <v>Charges de personnel</v>
      </c>
    </row>
    <row r="1137" spans="1:5">
      <c r="A1137" t="s">
        <v>3563</v>
      </c>
      <c r="B1137" t="s">
        <v>3564</v>
      </c>
      <c r="C1137" t="s">
        <v>3565</v>
      </c>
      <c r="D1137" s="2" t="n">
        <v>668700</v>
      </c>
      <c r="E1137" t="str">
        <f aca="1">INDEX('[1]Data Export (2)'!$A:$K,MATCH(A1137,'[1]Data Export (2)'!$B:$B,0),11)</f>
        <v>Charges de personnel</v>
      </c>
    </row>
    <row r="1138" spans="1:5">
      <c r="A1138" t="s">
        <v>3566</v>
      </c>
      <c r="B1138" t="s">
        <v>3567</v>
      </c>
      <c r="C1138" t="s">
        <v>3568</v>
      </c>
      <c r="D1138" s="2" t="n">
        <v>668800</v>
      </c>
      <c r="E1138" t="str">
        <f aca="1">INDEX('[1]Data Export (2)'!$A:$K,MATCH(A1138,'[1]Data Export (2)'!$B:$B,0),11)</f>
        <v>Charges de personnel</v>
      </c>
    </row>
    <row r="1139" spans="1:4">
      <c r="A1139" t="s">
        <v>3569</v>
      </c>
      <c r="B1139" t="s">
        <v>3570</v>
      </c>
      <c r="C1139" t="s">
        <v>3571</v>
      </c>
      <c r="D1139" s="2" t="n">
        <v>67</v>
      </c>
    </row>
    <row r="1140" spans="1:5">
      <c r="A1140" t="s">
        <v>3572</v>
      </c>
      <c r="B1140" t="s">
        <v>3573</v>
      </c>
      <c r="C1140" t="s">
        <v>3574</v>
      </c>
      <c r="D1140" s="2" t="n">
        <v>671000</v>
      </c>
      <c r="E1140" t="str">
        <f aca="1">INDEX('[1]Data Export (2)'!$A:$K,MATCH(A1140,'[1]Data Export (2)'!$B:$B,0),11)</f>
        <v>Frais financiers et charges assimilées</v>
      </c>
    </row>
    <row r="1141" spans="1:5">
      <c r="A1141" t="s">
        <v>3575</v>
      </c>
      <c r="B1141" t="s">
        <v>3576</v>
      </c>
      <c r="C1141" t="s">
        <v>3577</v>
      </c>
      <c r="D1141" s="2" t="n">
        <v>671100</v>
      </c>
      <c r="E1141" t="str">
        <f aca="1">INDEX('[1]Data Export (2)'!$A:$K,MATCH(A1141,'[1]Data Export (2)'!$B:$B,0),11)</f>
        <v>Frais financiers et charges assimilées</v>
      </c>
    </row>
    <row r="1142" spans="1:5">
      <c r="A1142" t="s">
        <v>3578</v>
      </c>
      <c r="B1142" t="s">
        <v>3579</v>
      </c>
      <c r="C1142" t="s">
        <v>3580</v>
      </c>
      <c r="D1142" s="2" t="n">
        <v>671200</v>
      </c>
      <c r="E1142" t="str">
        <f aca="1">INDEX('[1]Data Export (2)'!$A:$K,MATCH(A1142,'[1]Data Export (2)'!$B:$B,0),11)</f>
        <v>Frais financiers et charges assimilées</v>
      </c>
    </row>
    <row r="1143" spans="1:5">
      <c r="A1143" t="s">
        <v>3581</v>
      </c>
      <c r="B1143" t="s">
        <v>3582</v>
      </c>
      <c r="C1143" t="s">
        <v>3583</v>
      </c>
      <c r="D1143" s="2" t="n">
        <v>671300</v>
      </c>
      <c r="E1143" t="str">
        <f aca="1">INDEX('[1]Data Export (2)'!$A:$K,MATCH(A1143,'[1]Data Export (2)'!$B:$B,0),11)</f>
        <v>Frais financiers et charges assimilées</v>
      </c>
    </row>
    <row r="1144" spans="1:5">
      <c r="A1144" t="s">
        <v>3584</v>
      </c>
      <c r="B1144" t="s">
        <v>3585</v>
      </c>
      <c r="C1144" t="s">
        <v>3586</v>
      </c>
      <c r="D1144" s="2" t="n">
        <v>671400</v>
      </c>
      <c r="E1144" t="str">
        <f aca="1">INDEX('[1]Data Export (2)'!$A:$K,MATCH(A1144,'[1]Data Export (2)'!$B:$B,0),11)</f>
        <v>Frais financiers et charges assimilées</v>
      </c>
    </row>
    <row r="1145" spans="1:5">
      <c r="A1145" t="s">
        <v>3587</v>
      </c>
      <c r="B1145" t="s">
        <v>3588</v>
      </c>
      <c r="C1145" t="s">
        <v>3589</v>
      </c>
      <c r="D1145" s="2" t="n">
        <v>672000</v>
      </c>
      <c r="E1145" t="str">
        <f aca="1">INDEX('[1]Data Export (2)'!$A:$K,MATCH(A1145,'[1]Data Export (2)'!$B:$B,0),11)</f>
        <v>Frais financiers et charges assimilées</v>
      </c>
    </row>
    <row r="1146" spans="1:5">
      <c r="A1146" t="s">
        <v>3590</v>
      </c>
      <c r="B1146" t="s">
        <v>3591</v>
      </c>
      <c r="C1146" t="s">
        <v>3592</v>
      </c>
      <c r="D1146" s="2" t="n">
        <v>672200</v>
      </c>
      <c r="E1146" t="str">
        <f aca="1">INDEX('[1]Data Export (2)'!$A:$K,MATCH(D1146,'[1]Data Export (2)'!$F:$F,0),11)</f>
        <v>Frais financiers et charges assimilées</v>
      </c>
    </row>
    <row r="1147" spans="1:5">
      <c r="A1147" t="s">
        <v>3593</v>
      </c>
      <c r="B1147" t="s">
        <v>3594</v>
      </c>
      <c r="C1147" t="s">
        <v>3595</v>
      </c>
      <c r="D1147" s="2" t="n">
        <v>672300</v>
      </c>
      <c r="E1147" t="str">
        <f aca="1">INDEX('[1]Data Export (2)'!$A:$K,MATCH(D1147,'[1]Data Export (2)'!$F:$F,0),11)</f>
        <v>Frais financiers et charges assimilées</v>
      </c>
    </row>
    <row r="1148" spans="1:5">
      <c r="A1148" t="s">
        <v>3596</v>
      </c>
      <c r="B1148" t="s">
        <v>3597</v>
      </c>
      <c r="C1148" t="s">
        <v>3598</v>
      </c>
      <c r="D1148" s="2" t="n">
        <v>672400</v>
      </c>
      <c r="E1148" t="str">
        <f aca="1">INDEX('[1]Data Export (2)'!$A:$K,MATCH(D1148,'[1]Data Export (2)'!$F:$F,0),11)</f>
        <v>Frais financiers et charges assimilées</v>
      </c>
    </row>
    <row r="1149" spans="1:5">
      <c r="A1149" t="s">
        <v>3599</v>
      </c>
      <c r="B1149" t="s">
        <v>3600</v>
      </c>
      <c r="C1149" t="s">
        <v>3601</v>
      </c>
      <c r="D1149" s="2" t="n">
        <v>672800</v>
      </c>
      <c r="E1149" t="str">
        <f aca="1">INDEX('[1]Data Export (2)'!$A:$K,MATCH(A1149,'[1]Data Export (2)'!$B:$B,0),11)</f>
        <v>Frais financiers et charges assimilées</v>
      </c>
    </row>
    <row r="1150" spans="1:5">
      <c r="A1150" t="s">
        <v>3602</v>
      </c>
      <c r="B1150" t="s">
        <v>3603</v>
      </c>
      <c r="C1150" t="s">
        <v>3604</v>
      </c>
      <c r="D1150" s="2" t="n">
        <v>673000</v>
      </c>
      <c r="E1150" t="str">
        <f aca="1">INDEX('[1]Data Export (2)'!$A:$K,MATCH(A1150,'[1]Data Export (2)'!$B:$B,0),11)</f>
        <v>Frais financiers et charges assimilées</v>
      </c>
    </row>
    <row r="1151" spans="1:5">
      <c r="A1151" t="s">
        <v>3605</v>
      </c>
      <c r="B1151" t="s">
        <v>3606</v>
      </c>
      <c r="C1151" t="s">
        <v>3607</v>
      </c>
      <c r="D1151" s="2" t="n">
        <v>674000</v>
      </c>
      <c r="E1151" t="str">
        <f aca="1">INDEX('[1]Data Export (2)'!$A:$K,MATCH(A1151,'[1]Data Export (2)'!$B:$B,0),11)</f>
        <v>Frais financiers et charges assimilées</v>
      </c>
    </row>
    <row r="1152" spans="1:5">
      <c r="A1152" t="s">
        <v>3608</v>
      </c>
      <c r="B1152" t="s">
        <v>3609</v>
      </c>
      <c r="C1152" t="s">
        <v>3610</v>
      </c>
      <c r="D1152" s="2" t="n">
        <v>674100</v>
      </c>
      <c r="E1152" t="str">
        <f aca="1">INDEX('[1]Data Export (2)'!$A:$K,MATCH(A1152,'[1]Data Export (2)'!$B:$B,0),11)</f>
        <v>Frais financiers et charges assimilées</v>
      </c>
    </row>
    <row r="1153" spans="1:5">
      <c r="A1153" t="s">
        <v>3611</v>
      </c>
      <c r="B1153" t="s">
        <v>3612</v>
      </c>
      <c r="C1153" t="s">
        <v>3613</v>
      </c>
      <c r="D1153" s="2" t="n">
        <v>674200</v>
      </c>
      <c r="E1153" t="str">
        <f aca="1">INDEX('[1]Data Export (2)'!$A:$K,MATCH(A1153,'[1]Data Export (2)'!$B:$B,0),11)</f>
        <v>Frais financiers et charges assimilées</v>
      </c>
    </row>
    <row r="1154" spans="1:5">
      <c r="A1154" t="s">
        <v>3614</v>
      </c>
      <c r="B1154" t="s">
        <v>3615</v>
      </c>
      <c r="C1154" t="s">
        <v>3616</v>
      </c>
      <c r="D1154" s="2" t="n">
        <v>674300</v>
      </c>
      <c r="E1154" t="str">
        <f aca="1">INDEX('[1]Data Export (2)'!$A:$K,MATCH(A1154,'[1]Data Export (2)'!$B:$B,0),11)</f>
        <v>Frais financiers et charges assimilées</v>
      </c>
    </row>
    <row r="1155" spans="1:5">
      <c r="A1155" t="s">
        <v>3617</v>
      </c>
      <c r="B1155" t="s">
        <v>3618</v>
      </c>
      <c r="C1155" t="s">
        <v>3619</v>
      </c>
      <c r="D1155" s="2" t="n">
        <v>674400</v>
      </c>
      <c r="E1155" t="str">
        <f aca="1">INDEX('[1]Data Export (2)'!$A:$K,MATCH(A1155,'[1]Data Export (2)'!$B:$B,0),11)</f>
        <v>Frais financiers et charges assimilées</v>
      </c>
    </row>
    <row r="1156" spans="1:5">
      <c r="A1156" t="s">
        <v>3620</v>
      </c>
      <c r="B1156" t="s">
        <v>3621</v>
      </c>
      <c r="C1156" t="s">
        <v>3622</v>
      </c>
      <c r="D1156" s="2" t="n">
        <v>674500</v>
      </c>
      <c r="E1156" t="str">
        <f aca="1">INDEX('[1]Data Export (2)'!$A:$K,MATCH(A1156,'[1]Data Export (2)'!$B:$B,0),11)</f>
        <v>Frais financiers et charges assimilées</v>
      </c>
    </row>
    <row r="1157" spans="1:5">
      <c r="A1157" t="s">
        <v>3623</v>
      </c>
      <c r="B1157" t="s">
        <v>3624</v>
      </c>
      <c r="C1157" t="s">
        <v>3625</v>
      </c>
      <c r="D1157" s="2" t="n">
        <v>674800</v>
      </c>
      <c r="E1157" t="str">
        <f aca="1">INDEX('[1]Data Export (2)'!$A:$K,MATCH(A1157,'[1]Data Export (2)'!$B:$B,0),11)</f>
        <v>Frais financiers et charges assimilées</v>
      </c>
    </row>
    <row r="1158" spans="1:5">
      <c r="A1158" t="s">
        <v>3626</v>
      </c>
      <c r="B1158" t="s">
        <v>3627</v>
      </c>
      <c r="C1158" t="s">
        <v>3628</v>
      </c>
      <c r="D1158" s="2" t="n">
        <v>675000</v>
      </c>
      <c r="E1158" t="str">
        <f aca="1">INDEX('[1]Data Export (2)'!$A:$K,MATCH(A1158,'[1]Data Export (2)'!$B:$B,0),11)</f>
        <v>Frais financiers et charges assimilées</v>
      </c>
    </row>
    <row r="1159" spans="1:5">
      <c r="A1159" t="s">
        <v>3629</v>
      </c>
      <c r="B1159" t="s">
        <v>3630</v>
      </c>
      <c r="C1159" t="s">
        <v>3631</v>
      </c>
      <c r="D1159" s="2" t="n">
        <v>676000</v>
      </c>
      <c r="E1159" t="str">
        <f aca="1">INDEX('[1]Data Export (2)'!$A:$K,MATCH(A1159,'[1]Data Export (2)'!$B:$B,0),11)</f>
        <v>Frais financiers et charges assimilées</v>
      </c>
    </row>
    <row r="1160" spans="1:5">
      <c r="A1160" t="s">
        <v>3632</v>
      </c>
      <c r="B1160" t="s">
        <v>3633</v>
      </c>
      <c r="C1160" t="s">
        <v>3634</v>
      </c>
      <c r="D1160" s="2" t="n">
        <v>677000</v>
      </c>
      <c r="E1160" t="str">
        <f aca="1">INDEX('[1]Data Export (2)'!$A:$K,MATCH(A1160,'[1]Data Export (2)'!$B:$B,0),11)</f>
        <v>Frais financiers et charges assimilées</v>
      </c>
    </row>
    <row r="1161" spans="1:5">
      <c r="A1161" t="s">
        <v>3635</v>
      </c>
      <c r="B1161" t="s">
        <v>3636</v>
      </c>
      <c r="C1161" t="s">
        <v>3637</v>
      </c>
      <c r="D1161" s="2" t="n">
        <v>677100</v>
      </c>
      <c r="E1161" t="str">
        <f aca="1">INDEX('[1]Data Export (2)'!$A:$K,MATCH(A1161,'[1]Data Export (2)'!$B:$B,0),11)</f>
        <v>Frais financiers et charges assimilées</v>
      </c>
    </row>
    <row r="1162" spans="1:5">
      <c r="A1162" t="s">
        <v>3638</v>
      </c>
      <c r="B1162" t="s">
        <v>3639</v>
      </c>
      <c r="C1162" t="s">
        <v>3640</v>
      </c>
      <c r="D1162" s="2" t="n">
        <v>677200</v>
      </c>
      <c r="E1162" t="str">
        <f aca="1">INDEX('[1]Data Export (2)'!$A:$K,MATCH(A1162,'[1]Data Export (2)'!$B:$B,0),11)</f>
        <v>Frais financiers et charges assimilées</v>
      </c>
    </row>
    <row r="1163" spans="1:5">
      <c r="A1163" t="s">
        <v>3641</v>
      </c>
      <c r="B1163" t="s">
        <v>3642</v>
      </c>
      <c r="C1163" t="s">
        <v>3643</v>
      </c>
      <c r="D1163" s="2" t="n">
        <v>678000</v>
      </c>
      <c r="E1163" t="str">
        <f aca="1">INDEX('[1]Data Export (2)'!$A:$K,MATCH(A1163,'[1]Data Export (2)'!$B:$B,0),11)</f>
        <v>Frais financiers et charges assimilées</v>
      </c>
    </row>
    <row r="1164" spans="1:5">
      <c r="A1164" t="s">
        <v>3644</v>
      </c>
      <c r="B1164" t="s">
        <v>3645</v>
      </c>
      <c r="C1164" t="s">
        <v>3646</v>
      </c>
      <c r="D1164" s="2" t="n">
        <v>678100</v>
      </c>
      <c r="E1164" t="str">
        <f aca="1">INDEX('[1]Data Export (2)'!$A:$K,MATCH(A1164,'[1]Data Export (2)'!$B:$B,0),11)</f>
        <v>Frais financiers et charges assimilées</v>
      </c>
    </row>
    <row r="1165" spans="1:5">
      <c r="A1165" t="s">
        <v>3647</v>
      </c>
      <c r="B1165" t="s">
        <v>3648</v>
      </c>
      <c r="C1165" t="s">
        <v>3649</v>
      </c>
      <c r="D1165" s="2" t="n">
        <v>678200</v>
      </c>
      <c r="E1165" t="str">
        <f aca="1">INDEX('[1]Data Export (2)'!$A:$K,MATCH(A1165,'[1]Data Export (2)'!$B:$B,0),11)</f>
        <v>Frais financiers et charges assimilées</v>
      </c>
    </row>
    <row r="1166" spans="1:5">
      <c r="A1166" t="s">
        <v>3650</v>
      </c>
      <c r="B1166" t="s">
        <v>3651</v>
      </c>
      <c r="C1166" t="s">
        <v>3652</v>
      </c>
      <c r="D1166" s="2" t="n">
        <v>678400</v>
      </c>
      <c r="E1166" t="str">
        <f aca="1">INDEX('[1]Data Export (2)'!$A:$K,MATCH(A1166,'[1]Data Export (2)'!$B:$B,0),11)</f>
        <v>Frais financiers et charges assimilées</v>
      </c>
    </row>
    <row r="1167" spans="1:5">
      <c r="A1167" t="s">
        <v>3653</v>
      </c>
      <c r="B1167" t="s">
        <v>3654</v>
      </c>
      <c r="C1167" t="s">
        <v>3655</v>
      </c>
      <c r="D1167" s="2" t="n">
        <v>679000</v>
      </c>
      <c r="E1167" t="str">
        <f aca="1">INDEX('[1]Data Export (2)'!$A:$K,MATCH(A1167,'[1]Data Export (2)'!$B:$B,0),11)</f>
        <v>Frais financiers et charges assimilées</v>
      </c>
    </row>
    <row r="1168" spans="1:5">
      <c r="A1168" t="s">
        <v>3656</v>
      </c>
      <c r="B1168" t="s">
        <v>3657</v>
      </c>
      <c r="C1168" t="s">
        <v>3658</v>
      </c>
      <c r="D1168" s="2" t="n">
        <v>679100</v>
      </c>
      <c r="E1168" t="str">
        <f aca="1">INDEX('[1]Data Export (2)'!$A:$K,MATCH(A1168,'[1]Data Export (2)'!$B:$B,0),11)</f>
        <v>Frais financiers et charges assimilées</v>
      </c>
    </row>
    <row r="1169" spans="1:5">
      <c r="A1169" t="s">
        <v>3659</v>
      </c>
      <c r="B1169" t="s">
        <v>3660</v>
      </c>
      <c r="C1169" t="s">
        <v>3661</v>
      </c>
      <c r="D1169" s="2" t="n">
        <v>679500</v>
      </c>
      <c r="E1169" t="str">
        <f aca="1">INDEX('[1]Data Export (2)'!$A:$K,MATCH(A1169,'[1]Data Export (2)'!$B:$B,0),11)</f>
        <v>Frais financiers et charges assimilées</v>
      </c>
    </row>
    <row r="1170" spans="1:5">
      <c r="A1170" t="s">
        <v>3662</v>
      </c>
      <c r="B1170" t="s">
        <v>3663</v>
      </c>
      <c r="C1170" t="s">
        <v>3664</v>
      </c>
      <c r="D1170" s="2" t="n">
        <v>679800</v>
      </c>
      <c r="E1170" t="str">
        <f aca="1">INDEX('[1]Data Export (2)'!$A:$K,MATCH(A1170,'[1]Data Export (2)'!$B:$B,0),11)</f>
        <v>Frais financiers et charges assimilées</v>
      </c>
    </row>
    <row r="1171" spans="1:4">
      <c r="A1171" t="s">
        <v>3665</v>
      </c>
      <c r="B1171" t="s">
        <v>3666</v>
      </c>
      <c r="C1171" t="s">
        <v>3667</v>
      </c>
      <c r="D1171" s="2" t="n">
        <v>68</v>
      </c>
    </row>
    <row r="1172" spans="1:5">
      <c r="A1172" t="s">
        <v>3668</v>
      </c>
      <c r="B1172" t="s">
        <v>3669</v>
      </c>
      <c r="C1172" t="s">
        <v>3670</v>
      </c>
      <c r="D1172" s="2" t="n">
        <v>681000</v>
      </c>
      <c r="E1172" t="str">
        <f aca="1">INDEX('[1]Data Export (2)'!$A:$K,MATCH(A1172,'[1]Data Export (2)'!$B:$B,0),11)</f>
        <v>Dotations aux amortissements, aux provisions et dépréciations</v>
      </c>
    </row>
    <row r="1173" spans="1:5">
      <c r="A1173" t="s">
        <v>3671</v>
      </c>
      <c r="B1173" t="s">
        <v>3672</v>
      </c>
      <c r="C1173" t="s">
        <v>3673</v>
      </c>
      <c r="D1173" s="2" t="n">
        <v>681200</v>
      </c>
      <c r="E1173" t="str">
        <f aca="1">INDEX('[1]Data Export (2)'!$A:$K,MATCH(A1173,'[1]Data Export (2)'!$B:$B,0),11)</f>
        <v>Dotations aux amortissements, aux provisions et dépréciations</v>
      </c>
    </row>
    <row r="1174" spans="1:5">
      <c r="A1174" t="s">
        <v>3674</v>
      </c>
      <c r="B1174" t="s">
        <v>3675</v>
      </c>
      <c r="C1174" t="s">
        <v>3676</v>
      </c>
      <c r="D1174" s="2" t="n">
        <v>681300</v>
      </c>
      <c r="E1174" t="str">
        <f aca="1">INDEX('[1]Data Export (2)'!$A:$K,MATCH(A1174,'[1]Data Export (2)'!$B:$B,0),11)</f>
        <v>Dotations aux amortissements, aux provisions et dépréciations</v>
      </c>
    </row>
    <row r="1175" spans="1:4">
      <c r="A1175" t="s">
        <v>3677</v>
      </c>
      <c r="B1175" t="s">
        <v>3678</v>
      </c>
      <c r="C1175" t="s">
        <v>3679</v>
      </c>
      <c r="D1175" s="2" t="n">
        <v>69</v>
      </c>
    </row>
    <row r="1176" spans="1:5">
      <c r="A1176" t="s">
        <v>3680</v>
      </c>
      <c r="B1176" t="s">
        <v>3681</v>
      </c>
      <c r="C1176" t="s">
        <v>3682</v>
      </c>
      <c r="D1176" s="2" t="n">
        <v>691000</v>
      </c>
      <c r="E1176" t="str">
        <f aca="1">INDEX('[1]Data Export (2)'!$A:$K,MATCH(A1176,'[1]Data Export (2)'!$B:$B,0),11)</f>
        <v>Dotations aux amortissements, aux provisions et dépréciations</v>
      </c>
    </row>
    <row r="1177" spans="1:5">
      <c r="A1177" t="s">
        <v>3683</v>
      </c>
      <c r="B1177" t="s">
        <v>3684</v>
      </c>
      <c r="C1177" t="s">
        <v>3685</v>
      </c>
      <c r="D1177" s="2" t="n">
        <v>691100</v>
      </c>
      <c r="E1177" t="str">
        <f aca="1">INDEX('[1]Data Export (2)'!$A:$K,MATCH(A1177,'[1]Data Export (2)'!$B:$B,0),11)</f>
        <v>Dotations aux amortissements, aux provisions et dépréciations</v>
      </c>
    </row>
    <row r="1178" spans="1:5">
      <c r="A1178" t="s">
        <v>3686</v>
      </c>
      <c r="B1178" t="s">
        <v>3687</v>
      </c>
      <c r="C1178" t="s">
        <v>3688</v>
      </c>
      <c r="D1178" s="2" t="n">
        <v>691300</v>
      </c>
      <c r="E1178" t="str">
        <f aca="1">INDEX('[1]Data Export (2)'!$A:$K,MATCH(A1178,'[1]Data Export (2)'!$B:$B,0),11)</f>
        <v>Dotations aux amortissements, aux provisions et dépréciations</v>
      </c>
    </row>
    <row r="1179" spans="1:5">
      <c r="A1179" t="s">
        <v>3689</v>
      </c>
      <c r="B1179" t="s">
        <v>3690</v>
      </c>
      <c r="C1179" t="s">
        <v>3691</v>
      </c>
      <c r="D1179" s="2" t="n">
        <v>691400</v>
      </c>
      <c r="E1179" t="str">
        <f aca="1">INDEX('[1]Data Export (2)'!$A:$K,MATCH(A1179,'[1]Data Export (2)'!$B:$B,0),11)</f>
        <v>Dotations aux amortissements, aux provisions et dépréciations</v>
      </c>
    </row>
    <row r="1180" spans="1:5">
      <c r="A1180" t="s">
        <v>3692</v>
      </c>
      <c r="B1180" t="s">
        <v>3693</v>
      </c>
      <c r="C1180" t="s">
        <v>3694</v>
      </c>
      <c r="D1180" s="2" t="n">
        <v>697000</v>
      </c>
      <c r="E1180" t="str">
        <f aca="1">INDEX('[1]Data Export (2)'!$A:$K,MATCH(A1180,'[1]Data Export (2)'!$B:$B,0),11)</f>
        <v>Dotations aux provisions et aux dépréciations financières</v>
      </c>
    </row>
    <row r="1181" spans="1:5">
      <c r="A1181" t="s">
        <v>3695</v>
      </c>
      <c r="B1181" t="s">
        <v>3696</v>
      </c>
      <c r="C1181" t="s">
        <v>3697</v>
      </c>
      <c r="D1181" s="2" t="n">
        <v>697100</v>
      </c>
      <c r="E1181" t="str">
        <f aca="1">INDEX('[1]Data Export (2)'!$A:$K,MATCH(A1181,'[1]Data Export (2)'!$B:$B,0),11)</f>
        <v>Dotations aux provisions et aux dépréciations financières</v>
      </c>
    </row>
    <row r="1182" spans="1:5">
      <c r="A1182" t="s">
        <v>3698</v>
      </c>
      <c r="B1182" t="s">
        <v>3699</v>
      </c>
      <c r="C1182" t="s">
        <v>3700</v>
      </c>
      <c r="D1182" s="2" t="n">
        <v>697200</v>
      </c>
      <c r="E1182" t="str">
        <f aca="1">INDEX('[1]Data Export (2)'!$A:$K,MATCH(A1182,'[1]Data Export (2)'!$B:$B,0),11)</f>
        <v>Dotations aux provisions et aux dépréciations financières</v>
      </c>
    </row>
    <row r="1183" spans="1:4">
      <c r="A1183" t="s">
        <v>3701</v>
      </c>
      <c r="B1183" t="s">
        <v>3702</v>
      </c>
      <c r="D1183" s="2" t="n">
        <v>7</v>
      </c>
    </row>
    <row r="1184" spans="1:4">
      <c r="A1184" t="s">
        <v>3703</v>
      </c>
      <c r="B1184" t="s">
        <v>3704</v>
      </c>
      <c r="C1184" t="s">
        <v>3705</v>
      </c>
      <c r="D1184" s="2" t="n">
        <v>70</v>
      </c>
    </row>
    <row r="1185" spans="1:5">
      <c r="A1185" t="s">
        <v>3706</v>
      </c>
      <c r="B1185" t="s">
        <v>3707</v>
      </c>
      <c r="C1185" t="s">
        <v>3708</v>
      </c>
      <c r="D1185" s="2" t="n">
        <v>701000</v>
      </c>
      <c r="E1185" t="str">
        <f aca="1">INDEX('[1]Data Export (2)'!$A:$K,MATCH(A1185,'[1]Data Export (2)'!$B:$B,0),11)</f>
        <v>Ventes de marchandises</v>
      </c>
    </row>
    <row r="1186" spans="1:5">
      <c r="A1186" t="s">
        <v>3709</v>
      </c>
      <c r="B1186" t="s">
        <v>3710</v>
      </c>
      <c r="C1186" t="s">
        <v>3711</v>
      </c>
      <c r="D1186" s="2" t="n">
        <v>701100</v>
      </c>
      <c r="E1186" t="str">
        <f aca="1">INDEX('[1]Data Export (2)'!$A:$K,MATCH(A1186,'[1]Data Export (2)'!$B:$B,0),11)</f>
        <v>Ventes de marchandises</v>
      </c>
    </row>
    <row r="1187" spans="1:5">
      <c r="A1187" t="s">
        <v>3712</v>
      </c>
      <c r="B1187" t="s">
        <v>3713</v>
      </c>
      <c r="C1187" t="s">
        <v>3714</v>
      </c>
      <c r="D1187" s="2" t="n">
        <v>701200</v>
      </c>
      <c r="E1187" t="str">
        <f aca="1">INDEX('[1]Data Export (2)'!$A:$K,MATCH(A1187,'[1]Data Export (2)'!$B:$B,0),11)</f>
        <v>Ventes de marchandises</v>
      </c>
    </row>
    <row r="1188" spans="1:5">
      <c r="A1188" t="s">
        <v>3715</v>
      </c>
      <c r="B1188" t="s">
        <v>3716</v>
      </c>
      <c r="C1188" t="s">
        <v>3717</v>
      </c>
      <c r="D1188" s="2" t="n">
        <v>701300</v>
      </c>
      <c r="E1188" t="str">
        <f aca="1">INDEX('[1]Data Export (2)'!$A:$K,MATCH(A1188,'[1]Data Export (2)'!$B:$B,0),11)</f>
        <v>Ventes de marchandises</v>
      </c>
    </row>
    <row r="1189" spans="1:5">
      <c r="A1189" t="s">
        <v>3718</v>
      </c>
      <c r="B1189" t="s">
        <v>3719</v>
      </c>
      <c r="C1189" t="s">
        <v>3720</v>
      </c>
      <c r="D1189" s="2" t="n">
        <v>701400</v>
      </c>
      <c r="E1189" t="str">
        <f aca="1">INDEX('[1]Data Export (2)'!$A:$K,MATCH(A1189,'[1]Data Export (2)'!$B:$B,0),11)</f>
        <v>Ventes de marchandises</v>
      </c>
    </row>
    <row r="1190" spans="1:5">
      <c r="A1190" t="s">
        <v>3721</v>
      </c>
      <c r="B1190" t="s">
        <v>3722</v>
      </c>
      <c r="C1190" t="s">
        <v>3723</v>
      </c>
      <c r="D1190" s="2" t="n">
        <v>701500</v>
      </c>
      <c r="E1190" t="str">
        <f aca="1">INDEX('[1]Data Export (2)'!$A:$K,MATCH(A1190,'[1]Data Export (2)'!$B:$B,0),11)</f>
        <v>Ventes de marchandises</v>
      </c>
    </row>
    <row r="1191" spans="1:5">
      <c r="A1191" t="s">
        <v>3724</v>
      </c>
      <c r="B1191" t="s">
        <v>3725</v>
      </c>
      <c r="C1191" t="s">
        <v>3726</v>
      </c>
      <c r="D1191" s="2" t="n">
        <v>701900</v>
      </c>
      <c r="E1191" t="str">
        <f aca="1">INDEX('[1]Data Export (2)'!$A:$K,MATCH(A1191,'[1]Data Export (2)'!$B:$B,0),11)</f>
        <v>Ventes de marchandises</v>
      </c>
    </row>
    <row r="1192" spans="1:5">
      <c r="A1192" t="s">
        <v>3727</v>
      </c>
      <c r="B1192" t="s">
        <v>3728</v>
      </c>
      <c r="C1192" t="s">
        <v>3729</v>
      </c>
      <c r="D1192" s="2" t="n">
        <v>702000</v>
      </c>
      <c r="E1192" t="str">
        <f aca="1">INDEX('[1]Data Export (2)'!$A:$K,MATCH(A1192,'[1]Data Export (2)'!$B:$B,0),11)</f>
        <v>Vente de produits fabriqués</v>
      </c>
    </row>
    <row r="1193" spans="1:5">
      <c r="A1193" t="s">
        <v>3730</v>
      </c>
      <c r="B1193" t="s">
        <v>3731</v>
      </c>
      <c r="C1193" t="s">
        <v>3732</v>
      </c>
      <c r="D1193" s="2" t="n">
        <v>702100</v>
      </c>
      <c r="E1193" t="str">
        <f aca="1">INDEX('[1]Data Export (2)'!$A:$K,MATCH(A1193,'[1]Data Export (2)'!$B:$B,0),11)</f>
        <v>Vente de produits fabriqués</v>
      </c>
    </row>
    <row r="1194" spans="1:5">
      <c r="A1194" t="s">
        <v>3733</v>
      </c>
      <c r="B1194" t="s">
        <v>3734</v>
      </c>
      <c r="C1194" t="s">
        <v>3735</v>
      </c>
      <c r="D1194" s="2" t="n">
        <v>702200</v>
      </c>
      <c r="E1194" t="str">
        <f aca="1">INDEX('[1]Data Export (2)'!$A:$K,MATCH(A1194,'[1]Data Export (2)'!$B:$B,0),11)</f>
        <v>Vente de produits fabriqués</v>
      </c>
    </row>
    <row r="1195" spans="1:5">
      <c r="A1195" t="s">
        <v>3736</v>
      </c>
      <c r="B1195" t="s">
        <v>3737</v>
      </c>
      <c r="C1195" t="s">
        <v>3738</v>
      </c>
      <c r="D1195" s="2" t="n">
        <v>702300</v>
      </c>
      <c r="E1195" t="str">
        <f aca="1">INDEX('[1]Data Export (2)'!$A:$K,MATCH(A1195,'[1]Data Export (2)'!$B:$B,0),11)</f>
        <v>Vente de produits fabriqués</v>
      </c>
    </row>
    <row r="1196" spans="1:5">
      <c r="A1196" t="s">
        <v>3739</v>
      </c>
      <c r="B1196" t="s">
        <v>3740</v>
      </c>
      <c r="C1196" t="s">
        <v>3741</v>
      </c>
      <c r="D1196" s="2" t="n">
        <v>702400</v>
      </c>
      <c r="E1196" t="str">
        <f aca="1">INDEX('[1]Data Export (2)'!$A:$K,MATCH(A1196,'[1]Data Export (2)'!$B:$B,0),11)</f>
        <v>Vente de produits fabriqués</v>
      </c>
    </row>
    <row r="1197" spans="1:5">
      <c r="A1197" t="s">
        <v>3742</v>
      </c>
      <c r="B1197" t="s">
        <v>3743</v>
      </c>
      <c r="C1197" t="s">
        <v>3744</v>
      </c>
      <c r="D1197" s="2" t="n">
        <v>702500</v>
      </c>
      <c r="E1197" t="str">
        <f aca="1">INDEX('[1]Data Export (2)'!$A:$K,MATCH(A1197,'[1]Data Export (2)'!$B:$B,0),11)</f>
        <v>Vente de produits fabriqués</v>
      </c>
    </row>
    <row r="1198" spans="1:5">
      <c r="A1198" t="s">
        <v>3745</v>
      </c>
      <c r="B1198" t="s">
        <v>3746</v>
      </c>
      <c r="C1198" t="s">
        <v>3747</v>
      </c>
      <c r="D1198" s="2" t="n">
        <v>702900</v>
      </c>
      <c r="E1198" t="str">
        <f aca="1">INDEX('[1]Data Export (2)'!$A:$K,MATCH(A1198,'[1]Data Export (2)'!$B:$B,0),11)</f>
        <v>Vente de produits fabriqués</v>
      </c>
    </row>
    <row r="1199" spans="1:5">
      <c r="A1199" t="s">
        <v>3748</v>
      </c>
      <c r="B1199" t="s">
        <v>3749</v>
      </c>
      <c r="C1199" t="s">
        <v>3750</v>
      </c>
      <c r="D1199" s="2" t="n">
        <v>703000</v>
      </c>
      <c r="E1199" t="str">
        <f aca="1">INDEX('[1]Data Export (2)'!$A:$K,MATCH(A1199,'[1]Data Export (2)'!$B:$B,0),11)</f>
        <v>Vente de produits fabriqués</v>
      </c>
    </row>
    <row r="1200" spans="1:5">
      <c r="A1200" t="s">
        <v>3751</v>
      </c>
      <c r="B1200" t="s">
        <v>3752</v>
      </c>
      <c r="C1200" t="s">
        <v>3753</v>
      </c>
      <c r="D1200" s="2" t="n">
        <v>703100</v>
      </c>
      <c r="E1200" t="str">
        <f aca="1">INDEX('[1]Data Export (2)'!$A:$K,MATCH(A1200,'[1]Data Export (2)'!$B:$B,0),11)</f>
        <v>Vente de produits fabriqués</v>
      </c>
    </row>
    <row r="1201" spans="1:5">
      <c r="A1201" t="s">
        <v>3754</v>
      </c>
      <c r="B1201" t="s">
        <v>3755</v>
      </c>
      <c r="C1201" t="s">
        <v>3756</v>
      </c>
      <c r="D1201" s="2" t="n">
        <v>703200</v>
      </c>
      <c r="E1201" t="str">
        <f aca="1">INDEX('[1]Data Export (2)'!$A:$K,MATCH(A1201,'[1]Data Export (2)'!$B:$B,0),11)</f>
        <v>Vente de produits fabriqués</v>
      </c>
    </row>
    <row r="1202" spans="1:5">
      <c r="A1202" t="s">
        <v>3757</v>
      </c>
      <c r="B1202" t="s">
        <v>3758</v>
      </c>
      <c r="C1202" t="s">
        <v>3759</v>
      </c>
      <c r="D1202" s="2" t="n">
        <v>703300</v>
      </c>
      <c r="E1202" t="str">
        <f aca="1">INDEX('[1]Data Export (2)'!$A:$K,MATCH(A1202,'[1]Data Export (2)'!$B:$B,0),11)</f>
        <v>Vente de produits fabriqués</v>
      </c>
    </row>
    <row r="1203" spans="1:5">
      <c r="A1203" t="s">
        <v>3760</v>
      </c>
      <c r="B1203" t="s">
        <v>3761</v>
      </c>
      <c r="C1203" t="s">
        <v>3762</v>
      </c>
      <c r="D1203" s="2" t="n">
        <v>703400</v>
      </c>
      <c r="E1203" t="str">
        <f aca="1">INDEX('[1]Data Export (2)'!$A:$K,MATCH(A1203,'[1]Data Export (2)'!$B:$B,0),11)</f>
        <v>Vente de produits fabriqués</v>
      </c>
    </row>
    <row r="1204" spans="1:5">
      <c r="A1204" t="s">
        <v>3763</v>
      </c>
      <c r="B1204" t="s">
        <v>3764</v>
      </c>
      <c r="C1204" t="s">
        <v>3765</v>
      </c>
      <c r="D1204" s="2" t="n">
        <v>703500</v>
      </c>
      <c r="E1204" t="str">
        <f aca="1">INDEX('[1]Data Export (2)'!$A:$K,MATCH(A1204,'[1]Data Export (2)'!$B:$B,0),11)</f>
        <v>Vente de produits fabriqués</v>
      </c>
    </row>
    <row r="1205" spans="1:5">
      <c r="A1205" t="s">
        <v>3766</v>
      </c>
      <c r="B1205" t="s">
        <v>3767</v>
      </c>
      <c r="C1205" t="s">
        <v>3768</v>
      </c>
      <c r="D1205" s="2" t="n">
        <v>703900</v>
      </c>
      <c r="E1205" t="str">
        <f aca="1">INDEX('[1]Data Export (2)'!$A:$K,MATCH(A1205,'[1]Data Export (2)'!$B:$B,0),11)</f>
        <v>Vente de produits fabriqués</v>
      </c>
    </row>
    <row r="1206" spans="1:5">
      <c r="A1206" t="s">
        <v>3769</v>
      </c>
      <c r="B1206" t="s">
        <v>3770</v>
      </c>
      <c r="C1206" t="s">
        <v>3771</v>
      </c>
      <c r="D1206" s="2" t="n">
        <v>704000</v>
      </c>
      <c r="E1206" t="str">
        <f aca="1">INDEX('[1]Data Export (2)'!$A:$K,MATCH(A1206,'[1]Data Export (2)'!$B:$B,0),11)</f>
        <v>Vente de produits fabriqués</v>
      </c>
    </row>
    <row r="1207" spans="1:5">
      <c r="A1207" t="s">
        <v>3772</v>
      </c>
      <c r="B1207" t="s">
        <v>3773</v>
      </c>
      <c r="C1207" t="s">
        <v>3774</v>
      </c>
      <c r="D1207" s="2" t="n">
        <v>704100</v>
      </c>
      <c r="E1207" t="str">
        <f aca="1">INDEX('[1]Data Export (2)'!$A:$K,MATCH(A1207,'[1]Data Export (2)'!$B:$B,0),11)</f>
        <v>Vente de produits fabriqués</v>
      </c>
    </row>
    <row r="1208" spans="1:5">
      <c r="A1208" t="s">
        <v>3775</v>
      </c>
      <c r="B1208" t="s">
        <v>3776</v>
      </c>
      <c r="C1208" t="s">
        <v>3777</v>
      </c>
      <c r="D1208" s="2" t="n">
        <v>704200</v>
      </c>
      <c r="E1208" t="str">
        <f aca="1">INDEX('[1]Data Export (2)'!$A:$K,MATCH(A1208,'[1]Data Export (2)'!$B:$B,0),11)</f>
        <v>Vente de produits fabriqués</v>
      </c>
    </row>
    <row r="1209" spans="1:5">
      <c r="A1209" t="s">
        <v>3778</v>
      </c>
      <c r="B1209" t="s">
        <v>3779</v>
      </c>
      <c r="C1209" t="s">
        <v>3780</v>
      </c>
      <c r="D1209" s="2" t="n">
        <v>704300</v>
      </c>
      <c r="E1209" t="str">
        <f aca="1">INDEX('[1]Data Export (2)'!$A:$K,MATCH(A1209,'[1]Data Export (2)'!$B:$B,0),11)</f>
        <v>Vente de produits fabriqués</v>
      </c>
    </row>
    <row r="1210" spans="1:5">
      <c r="A1210" t="s">
        <v>3781</v>
      </c>
      <c r="B1210" t="s">
        <v>3782</v>
      </c>
      <c r="C1210" t="s">
        <v>3783</v>
      </c>
      <c r="D1210" s="2" t="n">
        <v>704400</v>
      </c>
      <c r="E1210" t="str">
        <f aca="1">INDEX('[1]Data Export (2)'!$A:$K,MATCH(A1210,'[1]Data Export (2)'!$B:$B,0),11)</f>
        <v>Vente de produits fabriqués</v>
      </c>
    </row>
    <row r="1211" spans="1:5">
      <c r="A1211" t="s">
        <v>3784</v>
      </c>
      <c r="B1211" t="s">
        <v>3785</v>
      </c>
      <c r="C1211" t="s">
        <v>3786</v>
      </c>
      <c r="D1211" s="2" t="n">
        <v>704500</v>
      </c>
      <c r="E1211" t="str">
        <f aca="1">INDEX('[1]Data Export (2)'!$A:$K,MATCH(A1211,'[1]Data Export (2)'!$B:$B,0),11)</f>
        <v>Vente de produits fabriqués</v>
      </c>
    </row>
    <row r="1212" spans="1:5">
      <c r="A1212" t="s">
        <v>3787</v>
      </c>
      <c r="B1212" t="s">
        <v>3788</v>
      </c>
      <c r="C1212" t="s">
        <v>3789</v>
      </c>
      <c r="D1212" s="2" t="n">
        <v>704900</v>
      </c>
      <c r="E1212" t="str">
        <f aca="1">INDEX('[1]Data Export (2)'!$A:$K,MATCH(A1212,'[1]Data Export (2)'!$B:$B,0),11)</f>
        <v>Vente de produits fabriqués</v>
      </c>
    </row>
    <row r="1213" spans="1:5">
      <c r="A1213" t="s">
        <v>3790</v>
      </c>
      <c r="B1213" t="s">
        <v>3791</v>
      </c>
      <c r="C1213" t="s">
        <v>3792</v>
      </c>
      <c r="D1213" s="2" t="n">
        <v>705000</v>
      </c>
      <c r="E1213" t="str">
        <f aca="1">INDEX('[1]Data Export (2)'!$A:$K,MATCH(A1213,'[1]Data Export (2)'!$B:$B,0),11)</f>
        <v>Travaux, services vendus</v>
      </c>
    </row>
    <row r="1214" spans="1:5">
      <c r="A1214" t="s">
        <v>3793</v>
      </c>
      <c r="B1214" t="s">
        <v>3794</v>
      </c>
      <c r="C1214" t="s">
        <v>3795</v>
      </c>
      <c r="D1214" s="2" t="n">
        <v>705100</v>
      </c>
      <c r="E1214" t="str">
        <f aca="1">INDEX('[1]Data Export (2)'!$A:$K,MATCH(A1214,'[1]Data Export (2)'!$B:$B,0),11)</f>
        <v>Travaux, services vendus</v>
      </c>
    </row>
    <row r="1215" spans="1:5">
      <c r="A1215" t="s">
        <v>3796</v>
      </c>
      <c r="B1215" t="s">
        <v>3797</v>
      </c>
      <c r="C1215" t="s">
        <v>3798</v>
      </c>
      <c r="D1215" s="2" t="n">
        <v>705200</v>
      </c>
      <c r="E1215" t="str">
        <f aca="1">INDEX('[1]Data Export (2)'!$A:$K,MATCH(A1215,'[1]Data Export (2)'!$B:$B,0),11)</f>
        <v>Travaux, services vendus</v>
      </c>
    </row>
    <row r="1216" spans="1:5">
      <c r="A1216" t="s">
        <v>3799</v>
      </c>
      <c r="B1216" t="s">
        <v>3800</v>
      </c>
      <c r="C1216" t="s">
        <v>3801</v>
      </c>
      <c r="D1216" s="2" t="n">
        <v>705300</v>
      </c>
      <c r="E1216" t="str">
        <f aca="1">INDEX('[1]Data Export (2)'!$A:$K,MATCH(A1216,'[1]Data Export (2)'!$B:$B,0),11)</f>
        <v>Travaux, services vendus</v>
      </c>
    </row>
    <row r="1217" spans="1:5">
      <c r="A1217" t="s">
        <v>3802</v>
      </c>
      <c r="B1217" t="s">
        <v>3803</v>
      </c>
      <c r="C1217" t="s">
        <v>3804</v>
      </c>
      <c r="D1217" s="2" t="n">
        <v>705400</v>
      </c>
      <c r="E1217" t="str">
        <f aca="1">INDEX('[1]Data Export (2)'!$A:$K,MATCH(A1217,'[1]Data Export (2)'!$B:$B,0),11)</f>
        <v>Travaux, services vendus</v>
      </c>
    </row>
    <row r="1218" spans="1:5">
      <c r="A1218" t="s">
        <v>3805</v>
      </c>
      <c r="B1218" t="s">
        <v>3806</v>
      </c>
      <c r="C1218" t="s">
        <v>3807</v>
      </c>
      <c r="D1218" s="2" t="n">
        <v>705500</v>
      </c>
      <c r="E1218" t="str">
        <f aca="1">INDEX('[1]Data Export (2)'!$A:$K,MATCH(A1218,'[1]Data Export (2)'!$B:$B,0),11)</f>
        <v>Travaux, services vendus</v>
      </c>
    </row>
    <row r="1219" spans="1:5">
      <c r="A1219" t="s">
        <v>3808</v>
      </c>
      <c r="B1219" t="s">
        <v>3809</v>
      </c>
      <c r="C1219" t="s">
        <v>3810</v>
      </c>
      <c r="D1219" s="2" t="n">
        <v>705900</v>
      </c>
      <c r="E1219" t="str">
        <f aca="1">INDEX('[1]Data Export (2)'!$A:$K,MATCH(A1219,'[1]Data Export (2)'!$B:$B,0),11)</f>
        <v>Travaux, services vendus</v>
      </c>
    </row>
    <row r="1220" spans="1:5">
      <c r="A1220" t="s">
        <v>3811</v>
      </c>
      <c r="B1220" t="s">
        <v>3812</v>
      </c>
      <c r="C1220" t="s">
        <v>3813</v>
      </c>
      <c r="D1220" s="2" t="n">
        <v>706000</v>
      </c>
      <c r="E1220" t="str">
        <f aca="1">INDEX('[1]Data Export (2)'!$A:$K,MATCH(A1220,'[1]Data Export (2)'!$B:$B,0),11)</f>
        <v>Travaux, services vendus</v>
      </c>
    </row>
    <row r="1221" spans="1:5">
      <c r="A1221" t="s">
        <v>3814</v>
      </c>
      <c r="B1221" t="s">
        <v>3815</v>
      </c>
      <c r="C1221" t="s">
        <v>3816</v>
      </c>
      <c r="D1221" s="2" t="n">
        <v>706100</v>
      </c>
      <c r="E1221" t="str">
        <f aca="1">INDEX('[1]Data Export (2)'!$A:$K,MATCH(A1221,'[1]Data Export (2)'!$B:$B,0),11)</f>
        <v>Travaux, services vendus</v>
      </c>
    </row>
    <row r="1222" spans="1:5">
      <c r="A1222" t="s">
        <v>3817</v>
      </c>
      <c r="B1222" t="s">
        <v>3818</v>
      </c>
      <c r="C1222" t="s">
        <v>3819</v>
      </c>
      <c r="D1222" s="2" t="n">
        <v>706200</v>
      </c>
      <c r="E1222" t="str">
        <f aca="1">INDEX('[1]Data Export (2)'!$A:$K,MATCH(A1222,'[1]Data Export (2)'!$B:$B,0),11)</f>
        <v>Travaux, services vendus</v>
      </c>
    </row>
    <row r="1223" spans="1:5">
      <c r="A1223" t="s">
        <v>3820</v>
      </c>
      <c r="B1223" t="s">
        <v>3821</v>
      </c>
      <c r="C1223" t="s">
        <v>3822</v>
      </c>
      <c r="D1223" s="2" t="n">
        <v>706300</v>
      </c>
      <c r="E1223" t="str">
        <f aca="1">INDEX('[1]Data Export (2)'!$A:$K,MATCH(A1223,'[1]Data Export (2)'!$B:$B,0),11)</f>
        <v>Travaux, services vendus</v>
      </c>
    </row>
    <row r="1224" spans="1:5">
      <c r="A1224" t="s">
        <v>3823</v>
      </c>
      <c r="B1224" t="s">
        <v>3824</v>
      </c>
      <c r="C1224" t="s">
        <v>3825</v>
      </c>
      <c r="D1224" s="2" t="n">
        <v>706400</v>
      </c>
      <c r="E1224" t="str">
        <f aca="1">INDEX('[1]Data Export (2)'!$A:$K,MATCH(A1224,'[1]Data Export (2)'!$B:$B,0),11)</f>
        <v>Travaux, services vendus</v>
      </c>
    </row>
    <row r="1225" spans="1:5">
      <c r="A1225" t="s">
        <v>3826</v>
      </c>
      <c r="B1225" t="s">
        <v>3827</v>
      </c>
      <c r="C1225" t="s">
        <v>3828</v>
      </c>
      <c r="D1225" s="2" t="n">
        <v>706500</v>
      </c>
      <c r="E1225" t="str">
        <f aca="1">INDEX('[1]Data Export (2)'!$A:$K,MATCH(A1225,'[1]Data Export (2)'!$B:$B,0),11)</f>
        <v>Travaux, services vendus</v>
      </c>
    </row>
    <row r="1226" spans="1:5">
      <c r="A1226" t="s">
        <v>3829</v>
      </c>
      <c r="B1226" t="s">
        <v>3830</v>
      </c>
      <c r="C1226" t="s">
        <v>3831</v>
      </c>
      <c r="D1226" s="2" t="n">
        <v>706900</v>
      </c>
      <c r="E1226" t="str">
        <f aca="1">INDEX('[1]Data Export (2)'!$A:$K,MATCH(A1226,'[1]Data Export (2)'!$B:$B,0),11)</f>
        <v>Travaux, services vendus</v>
      </c>
    </row>
    <row r="1227" spans="1:5">
      <c r="A1227" t="s">
        <v>3832</v>
      </c>
      <c r="B1227" t="s">
        <v>3833</v>
      </c>
      <c r="C1227" t="s">
        <v>3834</v>
      </c>
      <c r="D1227" s="2" t="n">
        <v>707000</v>
      </c>
      <c r="E1227" t="str">
        <f aca="1">INDEX('[1]Data Export (2)'!$A:$K,MATCH(A1227,'[1]Data Export (2)'!$B:$B,0),11)</f>
        <v>Produits accessoires</v>
      </c>
    </row>
    <row r="1228" spans="1:5">
      <c r="A1228" t="s">
        <v>3835</v>
      </c>
      <c r="B1228" t="s">
        <v>3836</v>
      </c>
      <c r="C1228" t="s">
        <v>3837</v>
      </c>
      <c r="D1228" s="2" t="n">
        <v>707100</v>
      </c>
      <c r="E1228" t="str">
        <f aca="1">INDEX('[1]Data Export (2)'!$A:$K,MATCH(A1228,'[1]Data Export (2)'!$B:$B,0),11)</f>
        <v>Produits accessoires</v>
      </c>
    </row>
    <row r="1229" spans="1:5">
      <c r="A1229" t="s">
        <v>3838</v>
      </c>
      <c r="B1229" t="s">
        <v>3839</v>
      </c>
      <c r="C1229" t="s">
        <v>3840</v>
      </c>
      <c r="D1229" s="2" t="n">
        <v>707200</v>
      </c>
      <c r="E1229" t="str">
        <f aca="1">INDEX('[1]Data Export (2)'!$A:$K,MATCH(A1229,'[1]Data Export (2)'!$B:$B,0),11)</f>
        <v>Produits accessoires</v>
      </c>
    </row>
    <row r="1230" spans="1:5">
      <c r="A1230" t="s">
        <v>3841</v>
      </c>
      <c r="B1230" t="s">
        <v>3842</v>
      </c>
      <c r="C1230" t="s">
        <v>3843</v>
      </c>
      <c r="D1230" s="2" t="n">
        <v>707300</v>
      </c>
      <c r="E1230" t="str">
        <f aca="1">INDEX('[1]Data Export (2)'!$A:$K,MATCH(A1230,'[1]Data Export (2)'!$B:$B,0),11)</f>
        <v>Produits accessoires</v>
      </c>
    </row>
    <row r="1231" spans="1:5">
      <c r="A1231" t="s">
        <v>3844</v>
      </c>
      <c r="B1231" t="s">
        <v>3845</v>
      </c>
      <c r="C1231" t="s">
        <v>3846</v>
      </c>
      <c r="D1231" s="2" t="n">
        <v>707400</v>
      </c>
      <c r="E1231" t="str">
        <f aca="1">INDEX('[1]Data Export (2)'!$A:$K,MATCH(A1231,'[1]Data Export (2)'!$B:$B,0),11)</f>
        <v>Produits accessoires</v>
      </c>
    </row>
    <row r="1232" spans="1:5">
      <c r="A1232" t="s">
        <v>3847</v>
      </c>
      <c r="B1232" t="s">
        <v>3848</v>
      </c>
      <c r="C1232" t="s">
        <v>3849</v>
      </c>
      <c r="D1232" s="2" t="n">
        <v>707500</v>
      </c>
      <c r="E1232" t="str">
        <f aca="1">INDEX('[1]Data Export (2)'!$A:$K,MATCH(A1232,'[1]Data Export (2)'!$B:$B,0),11)</f>
        <v>Produits accessoires</v>
      </c>
    </row>
    <row r="1233" spans="1:5">
      <c r="A1233" t="s">
        <v>3850</v>
      </c>
      <c r="B1233" t="s">
        <v>3851</v>
      </c>
      <c r="C1233" t="s">
        <v>3852</v>
      </c>
      <c r="D1233" s="2" t="n">
        <v>707600</v>
      </c>
      <c r="E1233" t="str">
        <f aca="1">INDEX('[1]Data Export (2)'!$A:$K,MATCH(A1233,'[1]Data Export (2)'!$B:$B,0),11)</f>
        <v>Produits accessoires</v>
      </c>
    </row>
    <row r="1234" spans="1:5">
      <c r="A1234" t="s">
        <v>3853</v>
      </c>
      <c r="B1234" t="s">
        <v>3854</v>
      </c>
      <c r="C1234" t="s">
        <v>3855</v>
      </c>
      <c r="D1234" s="2" t="n">
        <v>707700</v>
      </c>
      <c r="E1234" t="str">
        <f aca="1">INDEX('[1]Data Export (2)'!$A:$K,MATCH(A1234,'[1]Data Export (2)'!$B:$B,0),11)</f>
        <v>Produits accessoires</v>
      </c>
    </row>
    <row r="1235" spans="1:5">
      <c r="A1235" t="s">
        <v>3856</v>
      </c>
      <c r="B1235" t="s">
        <v>3857</v>
      </c>
      <c r="C1235" t="s">
        <v>3858</v>
      </c>
      <c r="D1235" s="2" t="n">
        <v>707800</v>
      </c>
      <c r="E1235" t="str">
        <f aca="1">INDEX('[1]Data Export (2)'!$A:$K,MATCH(A1235,'[1]Data Export (2)'!$B:$B,0),11)</f>
        <v>Produits accessoires</v>
      </c>
    </row>
    <row r="1236" spans="1:4">
      <c r="A1236" t="s">
        <v>3859</v>
      </c>
      <c r="B1236" t="s">
        <v>3860</v>
      </c>
      <c r="C1236" t="s">
        <v>3861</v>
      </c>
      <c r="D1236" s="2" t="n">
        <v>71</v>
      </c>
    </row>
    <row r="1237" spans="1:5">
      <c r="A1237" t="s">
        <v>3862</v>
      </c>
      <c r="B1237" t="s">
        <v>3863</v>
      </c>
      <c r="C1237" t="s">
        <v>3864</v>
      </c>
      <c r="D1237" s="2" t="n">
        <v>711000</v>
      </c>
      <c r="E1237" t="str">
        <f aca="1">INDEX('[1]Data Export (2)'!$A:$K,MATCH(A1237,'[1]Data Export (2)'!$B:$B,0),11)</f>
        <v>Subvention d'exploitation</v>
      </c>
    </row>
    <row r="1238" spans="1:5">
      <c r="A1238" t="s">
        <v>3865</v>
      </c>
      <c r="B1238" t="s">
        <v>3866</v>
      </c>
      <c r="C1238" t="s">
        <v>3867</v>
      </c>
      <c r="D1238" s="2" t="n">
        <v>712000</v>
      </c>
      <c r="E1238" t="str">
        <f aca="1">INDEX('[1]Data Export (2)'!$A:$K,MATCH(A1238,'[1]Data Export (2)'!$B:$B,0),11)</f>
        <v>Subvention d'exploitation</v>
      </c>
    </row>
    <row r="1239" spans="1:5">
      <c r="A1239" t="s">
        <v>3868</v>
      </c>
      <c r="B1239" t="s">
        <v>3869</v>
      </c>
      <c r="C1239" t="s">
        <v>3870</v>
      </c>
      <c r="D1239" s="2" t="n">
        <v>713000</v>
      </c>
      <c r="E1239" t="str">
        <f aca="1">INDEX('[1]Data Export (2)'!$A:$K,MATCH(A1239,'[1]Data Export (2)'!$B:$B,0),11)</f>
        <v>Subvention d'exploitation</v>
      </c>
    </row>
    <row r="1240" spans="1:5">
      <c r="A1240" t="s">
        <v>3871</v>
      </c>
      <c r="B1240" t="s">
        <v>3872</v>
      </c>
      <c r="C1240" t="s">
        <v>3873</v>
      </c>
      <c r="D1240" s="2" t="n">
        <v>714000</v>
      </c>
      <c r="E1240" t="str">
        <f aca="1">INDEX('[1]Data Export (2)'!$A:$K,MATCH(A1240,'[1]Data Export (2)'!$B:$B,0),11)</f>
        <v>Subvention d'exploitation</v>
      </c>
    </row>
    <row r="1241" spans="1:5">
      <c r="A1241" t="s">
        <v>3874</v>
      </c>
      <c r="B1241" t="s">
        <v>3875</v>
      </c>
      <c r="C1241" t="s">
        <v>3876</v>
      </c>
      <c r="D1241" s="2" t="n">
        <v>718000</v>
      </c>
      <c r="E1241" t="str">
        <f aca="1">INDEX('[1]Data Export (2)'!$A:$K,MATCH(A1241,'[1]Data Export (2)'!$B:$B,0),11)</f>
        <v>Subvention d'exploitation</v>
      </c>
    </row>
    <row r="1242" spans="1:5">
      <c r="A1242" t="s">
        <v>3877</v>
      </c>
      <c r="B1242" t="s">
        <v>3878</v>
      </c>
      <c r="C1242" t="s">
        <v>3879</v>
      </c>
      <c r="D1242" s="2" t="n">
        <v>718100</v>
      </c>
      <c r="E1242" t="str">
        <f aca="1">INDEX('[1]Data Export (2)'!$A:$K,MATCH(A1242,'[1]Data Export (2)'!$B:$B,0),11)</f>
        <v>Subvention d'exploitation</v>
      </c>
    </row>
    <row r="1243" spans="1:5">
      <c r="A1243" t="s">
        <v>3880</v>
      </c>
      <c r="B1243" t="s">
        <v>3881</v>
      </c>
      <c r="C1243" t="s">
        <v>3882</v>
      </c>
      <c r="D1243" s="2" t="n">
        <v>718200</v>
      </c>
      <c r="E1243" t="str">
        <f aca="1">INDEX('[1]Data Export (2)'!$A:$K,MATCH(A1243,'[1]Data Export (2)'!$B:$B,0),11)</f>
        <v>Subvention d'exploitation</v>
      </c>
    </row>
    <row r="1244" spans="1:5">
      <c r="A1244" t="s">
        <v>3883</v>
      </c>
      <c r="B1244" t="s">
        <v>3884</v>
      </c>
      <c r="C1244" t="s">
        <v>3885</v>
      </c>
      <c r="D1244" s="2" t="n">
        <v>718300</v>
      </c>
      <c r="E1244" t="str">
        <f aca="1">INDEX('[1]Data Export (2)'!$A:$K,MATCH(A1244,'[1]Data Export (2)'!$B:$B,0),11)</f>
        <v>Subvention d'exploitation</v>
      </c>
    </row>
    <row r="1245" spans="1:4">
      <c r="A1245" t="s">
        <v>3886</v>
      </c>
      <c r="B1245" t="s">
        <v>3887</v>
      </c>
      <c r="C1245" t="s">
        <v>3888</v>
      </c>
      <c r="D1245" s="2" t="n">
        <v>72</v>
      </c>
    </row>
    <row r="1246" spans="1:5">
      <c r="A1246" t="s">
        <v>3889</v>
      </c>
      <c r="B1246" t="s">
        <v>3890</v>
      </c>
      <c r="C1246" t="s">
        <v>3891</v>
      </c>
      <c r="D1246" s="2" t="n">
        <v>721000</v>
      </c>
      <c r="E1246" t="str">
        <f aca="1">INDEX('[1]Data Export (2)'!$A:$K,MATCH(A1246,'[1]Data Export (2)'!$B:$B,0),11)</f>
        <v>Production immobilisée</v>
      </c>
    </row>
    <row r="1247" spans="1:5">
      <c r="A1247" t="s">
        <v>3892</v>
      </c>
      <c r="B1247" t="s">
        <v>3893</v>
      </c>
      <c r="C1247" t="s">
        <v>3894</v>
      </c>
      <c r="D1247" s="2" t="n">
        <v>722000</v>
      </c>
      <c r="E1247" t="str">
        <f aca="1">INDEX('[1]Data Export (2)'!$A:$K,MATCH(A1247,'[1]Data Export (2)'!$B:$B,0),11)</f>
        <v>Production immobilisée</v>
      </c>
    </row>
    <row r="1248" spans="1:5">
      <c r="A1248" t="s">
        <v>3895</v>
      </c>
      <c r="B1248" t="s">
        <v>3896</v>
      </c>
      <c r="C1248" t="s">
        <v>3897</v>
      </c>
      <c r="D1248" s="2" t="n">
        <v>722100</v>
      </c>
      <c r="E1248" t="str">
        <f aca="1">INDEX('[1]Data Export (2)'!$A:$K,MATCH(A1248,'[1]Data Export (2)'!$B:$B,0),11)</f>
        <v>Production immobilisée</v>
      </c>
    </row>
    <row r="1249" spans="1:5">
      <c r="A1249" t="s">
        <v>3898</v>
      </c>
      <c r="B1249" t="s">
        <v>3899</v>
      </c>
      <c r="C1249" t="s">
        <v>3900</v>
      </c>
      <c r="D1249" s="2" t="n">
        <v>722200</v>
      </c>
      <c r="E1249" t="str">
        <f aca="1">INDEX('[1]Data Export (2)'!$A:$K,MATCH(A1249,'[1]Data Export (2)'!$B:$B,0),11)</f>
        <v>Production immobilisée</v>
      </c>
    </row>
    <row r="1250" spans="1:5">
      <c r="A1250" t="s">
        <v>3901</v>
      </c>
      <c r="B1250" t="s">
        <v>3902</v>
      </c>
      <c r="C1250" t="s">
        <v>3903</v>
      </c>
      <c r="D1250" s="2" t="n">
        <v>724000</v>
      </c>
      <c r="E1250" t="str">
        <f aca="1">INDEX('[1]Data Export (2)'!$A:$K,MATCH(D1250,'[1]Data Export (2)'!$F:$F,0),11)</f>
        <v>Production immobilisée</v>
      </c>
    </row>
    <row r="1251" spans="1:5">
      <c r="A1251" t="s">
        <v>3904</v>
      </c>
      <c r="B1251" t="s">
        <v>3905</v>
      </c>
      <c r="C1251" t="s">
        <v>3906</v>
      </c>
      <c r="D1251" s="2" t="n">
        <v>726000</v>
      </c>
      <c r="E1251" t="str">
        <f aca="1">INDEX('[1]Data Export (2)'!$A:$K,MATCH(A1251,'[1]Data Export (2)'!$B:$B,0),11)</f>
        <v>Production immobilisée</v>
      </c>
    </row>
    <row r="1252" spans="1:4">
      <c r="A1252" t="s">
        <v>3907</v>
      </c>
      <c r="B1252" t="s">
        <v>3908</v>
      </c>
      <c r="C1252" t="s">
        <v>3909</v>
      </c>
      <c r="D1252" s="2" t="n">
        <v>73</v>
      </c>
    </row>
    <row r="1253" spans="1:5">
      <c r="A1253" t="s">
        <v>3910</v>
      </c>
      <c r="B1253" t="s">
        <v>3911</v>
      </c>
      <c r="C1253" t="s">
        <v>3912</v>
      </c>
      <c r="D1253" s="2" t="n">
        <v>734000</v>
      </c>
      <c r="E1253" t="str">
        <f aca="1">INDEX('[1]Data Export (2)'!$A:$K,MATCH(A1253,'[1]Data Export (2)'!$B:$B,0),11)</f>
        <v>Production stockées (ou déstockage)</v>
      </c>
    </row>
    <row r="1254" spans="1:5">
      <c r="A1254" t="s">
        <v>3913</v>
      </c>
      <c r="B1254" t="s">
        <v>3914</v>
      </c>
      <c r="C1254" t="s">
        <v>3915</v>
      </c>
      <c r="D1254" s="2" t="n">
        <v>734100</v>
      </c>
      <c r="E1254" t="str">
        <f aca="1">INDEX('[1]Data Export (2)'!$A:$K,MATCH(A1254,'[1]Data Export (2)'!$B:$B,0),11)</f>
        <v>Production stockées (ou déstockage)</v>
      </c>
    </row>
    <row r="1255" spans="1:5">
      <c r="A1255" t="s">
        <v>3916</v>
      </c>
      <c r="B1255" t="s">
        <v>3917</v>
      </c>
      <c r="C1255" t="s">
        <v>3918</v>
      </c>
      <c r="D1255" s="2" t="n">
        <v>734200</v>
      </c>
      <c r="E1255" t="str">
        <f aca="1">INDEX('[1]Data Export (2)'!$A:$K,MATCH(A1255,'[1]Data Export (2)'!$B:$B,0),11)</f>
        <v>Production stockées (ou déstockage)</v>
      </c>
    </row>
    <row r="1256" spans="1:5">
      <c r="A1256" t="s">
        <v>3919</v>
      </c>
      <c r="B1256" t="s">
        <v>3920</v>
      </c>
      <c r="C1256" t="s">
        <v>3921</v>
      </c>
      <c r="D1256" s="2" t="n">
        <v>735000</v>
      </c>
      <c r="E1256" t="str">
        <f aca="1">INDEX('[1]Data Export (2)'!$A:$K,MATCH(D1256,'[1]Data Export (2)'!$F:$F,0),11)</f>
        <v>Production stockées (ou déstockage)</v>
      </c>
    </row>
    <row r="1257" spans="1:5">
      <c r="A1257" t="s">
        <v>3922</v>
      </c>
      <c r="B1257" t="s">
        <v>3923</v>
      </c>
      <c r="C1257" t="s">
        <v>3924</v>
      </c>
      <c r="D1257" s="2" t="n">
        <v>735100</v>
      </c>
      <c r="E1257" t="str">
        <f aca="1">INDEX('[1]Data Export (2)'!$A:$K,MATCH(A1257,'[1]Data Export (2)'!$B:$B,0),11)</f>
        <v>Production stockées (ou déstockage)</v>
      </c>
    </row>
    <row r="1258" spans="1:5">
      <c r="A1258" t="s">
        <v>3925</v>
      </c>
      <c r="B1258" t="s">
        <v>3926</v>
      </c>
      <c r="C1258" t="s">
        <v>3927</v>
      </c>
      <c r="D1258" s="2" t="n">
        <v>735200</v>
      </c>
      <c r="E1258" t="str">
        <f aca="1">INDEX('[1]Data Export (2)'!$A:$K,MATCH(A1258,'[1]Data Export (2)'!$B:$B,0),11)</f>
        <v>Production stockées (ou déstockage)</v>
      </c>
    </row>
    <row r="1259" spans="1:5">
      <c r="A1259" t="s">
        <v>3928</v>
      </c>
      <c r="B1259" t="s">
        <v>3929</v>
      </c>
      <c r="C1259" t="s">
        <v>3930</v>
      </c>
      <c r="D1259" s="2" t="n">
        <v>736000</v>
      </c>
      <c r="E1259" t="str">
        <f aca="1">INDEX('[1]Data Export (2)'!$A:$K,MATCH(A1259,'[1]Data Export (2)'!$B:$B,0),11)</f>
        <v>Production stockées (ou déstockage)</v>
      </c>
    </row>
    <row r="1260" spans="1:5">
      <c r="A1260" t="s">
        <v>3931</v>
      </c>
      <c r="B1260" t="s">
        <v>3932</v>
      </c>
      <c r="C1260" t="s">
        <v>3933</v>
      </c>
      <c r="D1260" s="2" t="n">
        <v>737000</v>
      </c>
      <c r="E1260" t="str">
        <f aca="1">INDEX('[1]Data Export (2)'!$A:$K,MATCH(A1260,'[1]Data Export (2)'!$B:$B,0),11)</f>
        <v>Production stockées (ou déstockage)</v>
      </c>
    </row>
    <row r="1261" spans="1:5">
      <c r="A1261" t="s">
        <v>3934</v>
      </c>
      <c r="B1261" t="s">
        <v>3935</v>
      </c>
      <c r="C1261" t="s">
        <v>3936</v>
      </c>
      <c r="D1261" s="2" t="n">
        <v>737100</v>
      </c>
      <c r="E1261" t="str">
        <f aca="1">INDEX('[1]Data Export (2)'!$A:$K,MATCH(A1261,'[1]Data Export (2)'!$B:$B,0),11)</f>
        <v>Production stockées (ou déstockage)</v>
      </c>
    </row>
    <row r="1262" spans="1:5">
      <c r="A1262" t="s">
        <v>3937</v>
      </c>
      <c r="B1262" t="s">
        <v>3938</v>
      </c>
      <c r="C1262" t="s">
        <v>3939</v>
      </c>
      <c r="D1262" s="2" t="n">
        <v>737200</v>
      </c>
      <c r="E1262" t="str">
        <f aca="1">INDEX('[1]Data Export (2)'!$A:$K,MATCH(A1262,'[1]Data Export (2)'!$B:$B,0),11)</f>
        <v>Production stockées (ou déstockage)</v>
      </c>
    </row>
    <row r="1263" spans="1:4">
      <c r="A1263" t="s">
        <v>3940</v>
      </c>
      <c r="B1263" t="s">
        <v>3941</v>
      </c>
      <c r="C1263" t="s">
        <v>3942</v>
      </c>
      <c r="D1263" s="2" t="n">
        <v>75</v>
      </c>
    </row>
    <row r="1264" spans="1:5">
      <c r="A1264" t="s">
        <v>3943</v>
      </c>
      <c r="B1264" t="s">
        <v>3944</v>
      </c>
      <c r="C1264" t="s">
        <v>3945</v>
      </c>
      <c r="D1264" s="2" t="n">
        <v>751000</v>
      </c>
      <c r="E1264" t="str">
        <f aca="1">INDEX('[1]Data Export (2)'!$A:$K,MATCH(A1264,'[1]Data Export (2)'!$B:$B,0),11)</f>
        <v>Autres produits</v>
      </c>
    </row>
    <row r="1265" spans="1:5">
      <c r="A1265" t="s">
        <v>3946</v>
      </c>
      <c r="B1265" t="s">
        <v>3947</v>
      </c>
      <c r="C1265" t="s">
        <v>3948</v>
      </c>
      <c r="D1265" s="2" t="n">
        <v>752000</v>
      </c>
      <c r="E1265" t="str">
        <f aca="1">INDEX('[1]Data Export (2)'!$A:$K,MATCH(D1265,'[1]Data Export (2)'!$F:$F,0),11)</f>
        <v>Autres produits</v>
      </c>
    </row>
    <row r="1266" spans="1:5">
      <c r="A1266" t="s">
        <v>3949</v>
      </c>
      <c r="B1266" t="s">
        <v>3950</v>
      </c>
      <c r="C1266" t="s">
        <v>3951</v>
      </c>
      <c r="D1266" s="2" t="n">
        <v>752100</v>
      </c>
      <c r="E1266" t="str">
        <f aca="1">INDEX('[1]Data Export (2)'!$A:$K,MATCH(D1266,'[1]Data Export (2)'!$F:$F,0),11)</f>
        <v>Autres produits</v>
      </c>
    </row>
    <row r="1267" spans="1:5">
      <c r="A1267" t="s">
        <v>3952</v>
      </c>
      <c r="B1267" t="s">
        <v>3953</v>
      </c>
      <c r="C1267" t="s">
        <v>3954</v>
      </c>
      <c r="D1267" s="4" t="s">
        <v>3955</v>
      </c>
      <c r="E1267" t="str">
        <f aca="1">INDEX('[1]Data Export (2)'!$A:$K,MATCH(A1267,'[1]Data Export (2)'!$B:$B,0),11)</f>
        <v>Autres produits</v>
      </c>
    </row>
    <row r="1268" spans="1:5">
      <c r="A1268" t="s">
        <v>3956</v>
      </c>
      <c r="B1268" t="s">
        <v>3957</v>
      </c>
      <c r="C1268" t="s">
        <v>3958</v>
      </c>
      <c r="D1268" s="4" t="s">
        <v>3959</v>
      </c>
      <c r="E1268" t="str">
        <f aca="1">INDEX('[1]Data Export (2)'!$A:$K,MATCH(A1268,'[1]Data Export (2)'!$B:$B,0),11)</f>
        <v>Autres produits</v>
      </c>
    </row>
    <row r="1269" spans="1:5">
      <c r="A1269" t="s">
        <v>3960</v>
      </c>
      <c r="B1269" t="s">
        <v>3961</v>
      </c>
      <c r="C1269" t="s">
        <v>3962</v>
      </c>
      <c r="D1269" s="4" t="s">
        <v>3963</v>
      </c>
      <c r="E1269" t="str">
        <f aca="1">INDEX('[1]Data Export (2)'!$A:$K,MATCH(A1269,'[1]Data Export (2)'!$B:$B,0),11)</f>
        <v>Autres produits</v>
      </c>
    </row>
    <row r="1270" spans="1:5">
      <c r="A1270" t="s">
        <v>3964</v>
      </c>
      <c r="B1270" t="s">
        <v>3965</v>
      </c>
      <c r="C1270" t="s">
        <v>3966</v>
      </c>
      <c r="D1270" s="4" t="s">
        <v>3967</v>
      </c>
      <c r="E1270" t="str">
        <f aca="1">INDEX('[1]Data Export (2)'!$A:$K,MATCH(A1270,'[1]Data Export (2)'!$B:$B,0),11)</f>
        <v>Autres produits</v>
      </c>
    </row>
    <row r="1271" spans="1:5">
      <c r="A1271" t="s">
        <v>3968</v>
      </c>
      <c r="B1271" t="s">
        <v>3969</v>
      </c>
      <c r="C1271" t="s">
        <v>3970</v>
      </c>
      <c r="D1271" s="4" t="s">
        <v>3971</v>
      </c>
      <c r="E1271" t="str">
        <f aca="1">INDEX('[1]Data Export (2)'!$A:$K,MATCH(A1271,'[1]Data Export (2)'!$B:$B,0),11)</f>
        <v>Autres produits</v>
      </c>
    </row>
    <row r="1272" spans="1:5">
      <c r="A1272" t="s">
        <v>3972</v>
      </c>
      <c r="B1272" t="s">
        <v>3973</v>
      </c>
      <c r="C1272" t="s">
        <v>3974</v>
      </c>
      <c r="D1272" s="4" t="s">
        <v>3975</v>
      </c>
      <c r="E1272" t="str">
        <f aca="1">INDEX('[1]Data Export (2)'!$A:$K,MATCH(A1272,'[1]Data Export (2)'!$B:$B,0),11)</f>
        <v>Autres produits</v>
      </c>
    </row>
    <row r="1273" spans="1:5">
      <c r="A1273" t="s">
        <v>3976</v>
      </c>
      <c r="B1273" t="s">
        <v>3977</v>
      </c>
      <c r="C1273" t="s">
        <v>3978</v>
      </c>
      <c r="D1273" s="4" t="s">
        <v>3979</v>
      </c>
      <c r="E1273" t="str">
        <f aca="1">INDEX('[1]Data Export (2)'!$A:$K,MATCH(A1273,'[1]Data Export (2)'!$B:$B,0),11)</f>
        <v>Autres produits</v>
      </c>
    </row>
    <row r="1274" spans="1:5">
      <c r="A1274" t="s">
        <v>3980</v>
      </c>
      <c r="B1274" t="s">
        <v>3981</v>
      </c>
      <c r="C1274" t="s">
        <v>3982</v>
      </c>
      <c r="D1274" s="4" t="s">
        <v>3983</v>
      </c>
      <c r="E1274" t="str">
        <f aca="1">INDEX('[1]Data Export (2)'!$A:$K,MATCH(A1274,'[1]Data Export (2)'!$B:$B,0),11)</f>
        <v>Autres produits</v>
      </c>
    </row>
    <row r="1275" spans="1:5">
      <c r="A1275" t="s">
        <v>3984</v>
      </c>
      <c r="B1275" t="s">
        <v>3985</v>
      </c>
      <c r="C1275" t="s">
        <v>3986</v>
      </c>
      <c r="D1275" s="4" t="s">
        <v>3987</v>
      </c>
      <c r="E1275" t="str">
        <f aca="1">INDEX('[1]Data Export (2)'!$A:$K,MATCH(A1275,'[1]Data Export (2)'!$B:$B,0),11)</f>
        <v>Autres produits</v>
      </c>
    </row>
    <row r="1276" spans="1:5">
      <c r="A1276" t="s">
        <v>3988</v>
      </c>
      <c r="B1276" t="s">
        <v>3989</v>
      </c>
      <c r="C1276" t="s">
        <v>3990</v>
      </c>
      <c r="D1276" s="4" t="s">
        <v>3991</v>
      </c>
      <c r="E1276" t="str">
        <f aca="1">INDEX('[1]Data Export (2)'!$A:$K,MATCH(A1276,'[1]Data Export (2)'!$B:$B,0),11)</f>
        <v>Autres produits</v>
      </c>
    </row>
    <row r="1277" spans="1:5">
      <c r="A1277" t="s">
        <v>3992</v>
      </c>
      <c r="B1277" t="s">
        <v>3993</v>
      </c>
      <c r="C1277" t="s">
        <v>3994</v>
      </c>
      <c r="D1277" s="4" t="s">
        <v>3995</v>
      </c>
      <c r="E1277" t="str">
        <f aca="1">INDEX('[1]Data Export (2)'!$A:$K,MATCH(A1277,'[1]Data Export (2)'!$B:$B,0),11)</f>
        <v>Autres produits</v>
      </c>
    </row>
    <row r="1278" spans="1:5">
      <c r="A1278" t="s">
        <v>3996</v>
      </c>
      <c r="B1278" t="s">
        <v>3997</v>
      </c>
      <c r="C1278" t="s">
        <v>3998</v>
      </c>
      <c r="D1278" s="4" t="s">
        <v>3999</v>
      </c>
      <c r="E1278" t="str">
        <f aca="1">INDEX('[1]Data Export (2)'!$A:$K,MATCH(A1278,'[1]Data Export (2)'!$B:$B,0),11)</f>
        <v>Autres produits</v>
      </c>
    </row>
    <row r="1279" spans="1:5">
      <c r="A1279" t="s">
        <v>4000</v>
      </c>
      <c r="B1279" t="s">
        <v>4001</v>
      </c>
      <c r="C1279" t="s">
        <v>4002</v>
      </c>
      <c r="D1279" s="4" t="s">
        <v>4003</v>
      </c>
      <c r="E1279" t="str">
        <f aca="1">INDEX('[1]Data Export (2)'!$A:$K,MATCH(A1279,'[1]Data Export (2)'!$B:$B,0),11)</f>
        <v>Autres produits</v>
      </c>
    </row>
    <row r="1280" spans="1:5">
      <c r="A1280" t="s">
        <v>4004</v>
      </c>
      <c r="B1280" t="s">
        <v>4005</v>
      </c>
      <c r="C1280" t="s">
        <v>4006</v>
      </c>
      <c r="D1280" s="4" t="s">
        <v>4007</v>
      </c>
      <c r="E1280" t="str">
        <f aca="1">INDEX('[1]Data Export (2)'!$A:$K,MATCH(A1280,'[1]Data Export (2)'!$B:$B,0),11)</f>
        <v>Autres produits</v>
      </c>
    </row>
    <row r="1281" spans="1:4">
      <c r="A1281" t="s">
        <v>4008</v>
      </c>
      <c r="B1281" t="s">
        <v>4009</v>
      </c>
      <c r="C1281" t="s">
        <v>4010</v>
      </c>
      <c r="D1281" s="4" t="s">
        <v>4011</v>
      </c>
    </row>
    <row r="1282" spans="1:5">
      <c r="A1282" t="s">
        <v>4012</v>
      </c>
      <c r="B1282" t="s">
        <v>4013</v>
      </c>
      <c r="C1282" t="s">
        <v>4014</v>
      </c>
      <c r="D1282" s="4" t="s">
        <v>4015</v>
      </c>
      <c r="E1282" t="str">
        <f aca="1">INDEX('[1]Data Export (2)'!$A:$K,MATCH(A1282,'[1]Data Export (2)'!$B:$B,0),11)</f>
        <v>Revenus financiers et assimilés</v>
      </c>
    </row>
    <row r="1283" spans="1:5">
      <c r="A1283" t="s">
        <v>4016</v>
      </c>
      <c r="B1283" t="s">
        <v>4017</v>
      </c>
      <c r="C1283" t="s">
        <v>4018</v>
      </c>
      <c r="D1283" s="4" t="s">
        <v>4019</v>
      </c>
      <c r="E1283" t="str">
        <f aca="1">INDEX('[1]Data Export (2)'!$A:$K,MATCH(A1283,'[1]Data Export (2)'!$B:$B,0),11)</f>
        <v>Revenus financiers et assimilés</v>
      </c>
    </row>
    <row r="1284" spans="1:5">
      <c r="A1284" t="s">
        <v>4020</v>
      </c>
      <c r="B1284" t="s">
        <v>4021</v>
      </c>
      <c r="C1284" t="s">
        <v>4022</v>
      </c>
      <c r="D1284" s="4" t="s">
        <v>4023</v>
      </c>
      <c r="E1284" t="str">
        <f aca="1">INDEX('[1]Data Export (2)'!$A:$K,MATCH(A1284,'[1]Data Export (2)'!$B:$B,0),11)</f>
        <v>Revenus financiers et assimilés</v>
      </c>
    </row>
    <row r="1285" spans="1:5">
      <c r="A1285" t="s">
        <v>4024</v>
      </c>
      <c r="B1285" t="s">
        <v>4025</v>
      </c>
      <c r="C1285" t="s">
        <v>4026</v>
      </c>
      <c r="D1285" s="4" t="s">
        <v>4027</v>
      </c>
      <c r="E1285" t="str">
        <f aca="1">INDEX('[1]Data Export (2)'!$A:$K,MATCH(A1285,'[1]Data Export (2)'!$B:$B,0),11)</f>
        <v>Revenus financiers et assimilés</v>
      </c>
    </row>
    <row r="1286" spans="1:5">
      <c r="A1286" t="s">
        <v>4028</v>
      </c>
      <c r="B1286" t="s">
        <v>4029</v>
      </c>
      <c r="C1286" t="s">
        <v>4030</v>
      </c>
      <c r="D1286" s="4" t="s">
        <v>4031</v>
      </c>
      <c r="E1286" t="str">
        <f aca="1">INDEX('[1]Data Export (2)'!$A:$K,MATCH(A1286,'[1]Data Export (2)'!$B:$B,0),11)</f>
        <v>Revenus financiers et assimilés</v>
      </c>
    </row>
    <row r="1287" spans="1:5">
      <c r="A1287" t="s">
        <v>4032</v>
      </c>
      <c r="B1287" t="s">
        <v>4033</v>
      </c>
      <c r="C1287" t="s">
        <v>4034</v>
      </c>
      <c r="D1287" s="4" t="s">
        <v>4035</v>
      </c>
      <c r="E1287" t="str">
        <f aca="1">INDEX('[1]Data Export (2)'!$A:$K,MATCH(A1287,'[1]Data Export (2)'!$B:$B,0),11)</f>
        <v>Revenus financiers et assimilés</v>
      </c>
    </row>
    <row r="1288" spans="1:5">
      <c r="A1288" t="s">
        <v>4036</v>
      </c>
      <c r="B1288" t="s">
        <v>4037</v>
      </c>
      <c r="C1288" t="s">
        <v>4038</v>
      </c>
      <c r="D1288" s="4" t="s">
        <v>4039</v>
      </c>
      <c r="E1288" t="str">
        <f aca="1">INDEX('[1]Data Export (2)'!$A:$K,MATCH(A1288,'[1]Data Export (2)'!$B:$B,0),11)</f>
        <v>Revenus financiers et assimilés</v>
      </c>
    </row>
    <row r="1289" spans="1:5">
      <c r="A1289" t="s">
        <v>4040</v>
      </c>
      <c r="B1289" t="s">
        <v>4041</v>
      </c>
      <c r="C1289" t="s">
        <v>4042</v>
      </c>
      <c r="D1289" s="4" t="s">
        <v>4043</v>
      </c>
      <c r="E1289" t="str">
        <f aca="1">INDEX('[1]Data Export (2)'!$A:$K,MATCH(A1289,'[1]Data Export (2)'!$B:$B,0),11)</f>
        <v>Revenus financiers et assimilés</v>
      </c>
    </row>
    <row r="1290" spans="1:5">
      <c r="A1290" t="s">
        <v>4044</v>
      </c>
      <c r="B1290" t="s">
        <v>4045</v>
      </c>
      <c r="C1290" t="s">
        <v>4046</v>
      </c>
      <c r="D1290" s="4" t="s">
        <v>4047</v>
      </c>
      <c r="E1290" t="str">
        <f aca="1">INDEX('[1]Data Export (2)'!$A:$K,MATCH(A1290,'[1]Data Export (2)'!$B:$B,0),11)</f>
        <v>Revenus financiers et assimilés</v>
      </c>
    </row>
    <row r="1291" spans="1:5">
      <c r="A1291" t="s">
        <v>4048</v>
      </c>
      <c r="B1291" t="s">
        <v>4049</v>
      </c>
      <c r="C1291" t="s">
        <v>4050</v>
      </c>
      <c r="D1291" s="4" t="s">
        <v>4051</v>
      </c>
      <c r="E1291" t="str">
        <f aca="1">INDEX('[1]Data Export (2)'!$A:$K,MATCH(A1291,'[1]Data Export (2)'!$B:$B,0),11)</f>
        <v>Revenus financiers et assimilés</v>
      </c>
    </row>
    <row r="1292" spans="1:5">
      <c r="A1292" t="s">
        <v>4052</v>
      </c>
      <c r="B1292" t="s">
        <v>4053</v>
      </c>
      <c r="C1292" t="s">
        <v>4054</v>
      </c>
      <c r="D1292" s="4" t="s">
        <v>4055</v>
      </c>
      <c r="E1292" t="str">
        <f aca="1">INDEX('[1]Data Export (2)'!$A:$K,MATCH(A1292,'[1]Data Export (2)'!$B:$B,0),11)</f>
        <v>Revenus financiers et assimilés</v>
      </c>
    </row>
    <row r="1293" spans="1:5">
      <c r="A1293" t="s">
        <v>4056</v>
      </c>
      <c r="B1293" t="s">
        <v>4057</v>
      </c>
      <c r="C1293" t="s">
        <v>4058</v>
      </c>
      <c r="D1293" s="4" t="s">
        <v>4059</v>
      </c>
      <c r="E1293" t="str">
        <f aca="1">INDEX('[1]Data Export (2)'!$A:$K,MATCH(A1293,'[1]Data Export (2)'!$B:$B,0),11)</f>
        <v>Revenus financiers et assimilés</v>
      </c>
    </row>
    <row r="1294" spans="1:5">
      <c r="A1294" t="s">
        <v>4060</v>
      </c>
      <c r="B1294" t="s">
        <v>4061</v>
      </c>
      <c r="C1294" t="s">
        <v>4062</v>
      </c>
      <c r="D1294" s="4" t="s">
        <v>4063</v>
      </c>
      <c r="E1294" t="str">
        <f aca="1">INDEX('[1]Data Export (2)'!$A:$K,MATCH(A1294,'[1]Data Export (2)'!$B:$B,0),11)</f>
        <v>Revenus financiers et assimilés</v>
      </c>
    </row>
    <row r="1295" spans="1:5">
      <c r="A1295" t="s">
        <v>4064</v>
      </c>
      <c r="B1295" t="s">
        <v>4065</v>
      </c>
      <c r="C1295" t="s">
        <v>4066</v>
      </c>
      <c r="D1295" s="4" t="s">
        <v>4067</v>
      </c>
      <c r="E1295" t="str">
        <f aca="1">INDEX('[1]Data Export (2)'!$A:$K,MATCH(A1295,'[1]Data Export (2)'!$B:$B,0),11)</f>
        <v>Revenus financiers et assimilés</v>
      </c>
    </row>
    <row r="1296" spans="1:5">
      <c r="A1296" t="s">
        <v>4068</v>
      </c>
      <c r="B1296" t="s">
        <v>4069</v>
      </c>
      <c r="C1296" t="s">
        <v>4070</v>
      </c>
      <c r="D1296" s="4" t="s">
        <v>4071</v>
      </c>
      <c r="E1296" t="str">
        <f aca="1">INDEX('[1]Data Export (2)'!$A:$K,MATCH(A1296,'[1]Data Export (2)'!$B:$B,0),11)</f>
        <v>Revenus financiers et assimilés</v>
      </c>
    </row>
    <row r="1297" spans="1:5">
      <c r="A1297" t="s">
        <v>4072</v>
      </c>
      <c r="B1297" t="s">
        <v>4073</v>
      </c>
      <c r="C1297" t="s">
        <v>4074</v>
      </c>
      <c r="D1297" s="4" t="s">
        <v>4075</v>
      </c>
      <c r="E1297" t="str">
        <f aca="1">INDEX('[1]Data Export (2)'!$A:$K,MATCH(A1297,'[1]Data Export (2)'!$B:$B,0),11)</f>
        <v>Revenus financiers et assimilés</v>
      </c>
    </row>
    <row r="1298" spans="1:5">
      <c r="A1298" t="s">
        <v>4076</v>
      </c>
      <c r="B1298" t="s">
        <v>4077</v>
      </c>
      <c r="C1298" t="s">
        <v>4078</v>
      </c>
      <c r="D1298" s="4" t="s">
        <v>4079</v>
      </c>
      <c r="E1298" t="str">
        <f aca="1">INDEX('[1]Data Export (2)'!$A:$K,MATCH(A1298,'[1]Data Export (2)'!$B:$B,0),11)</f>
        <v>Revenus financiers et assimilés</v>
      </c>
    </row>
    <row r="1299" spans="1:5">
      <c r="A1299" t="s">
        <v>4080</v>
      </c>
      <c r="B1299" t="s">
        <v>4081</v>
      </c>
      <c r="C1299" t="s">
        <v>4082</v>
      </c>
      <c r="D1299" s="4" t="s">
        <v>4083</v>
      </c>
      <c r="E1299" t="str">
        <f aca="1">INDEX('[1]Data Export (2)'!$A:$K,MATCH(A1299,'[1]Data Export (2)'!$B:$B,0),11)</f>
        <v>Revenus financiers et assimilés</v>
      </c>
    </row>
    <row r="1300" spans="1:5">
      <c r="A1300" t="s">
        <v>4084</v>
      </c>
      <c r="B1300" t="s">
        <v>4085</v>
      </c>
      <c r="C1300" t="s">
        <v>4086</v>
      </c>
      <c r="D1300" s="4" t="s">
        <v>4087</v>
      </c>
      <c r="E1300" t="str">
        <f aca="1">INDEX('[1]Data Export (2)'!$A:$K,MATCH(A1300,'[1]Data Export (2)'!$B:$B,0),11)</f>
        <v>Revenus financiers et assimilés</v>
      </c>
    </row>
    <row r="1301" spans="1:5">
      <c r="A1301" t="s">
        <v>4088</v>
      </c>
      <c r="B1301" t="s">
        <v>4089</v>
      </c>
      <c r="C1301" t="s">
        <v>4090</v>
      </c>
      <c r="D1301" s="4" t="s">
        <v>4091</v>
      </c>
      <c r="E1301" t="str">
        <f aca="1">INDEX('[1]Data Export (2)'!$A:$K,MATCH(A1301,'[1]Data Export (2)'!$B:$B,0),11)</f>
        <v>Revenus financiers et assimilés</v>
      </c>
    </row>
    <row r="1302" spans="1:5">
      <c r="A1302" t="s">
        <v>4092</v>
      </c>
      <c r="B1302" t="s">
        <v>4093</v>
      </c>
      <c r="C1302" t="s">
        <v>4094</v>
      </c>
      <c r="D1302" s="4" t="s">
        <v>4095</v>
      </c>
      <c r="E1302" t="str">
        <f aca="1">INDEX('[1]Data Export (2)'!$A:$K,MATCH(A1302,'[1]Data Export (2)'!$B:$B,0),11)</f>
        <v>Revenus financiers et assimilés</v>
      </c>
    </row>
    <row r="1303" spans="1:4">
      <c r="A1303" t="s">
        <v>4096</v>
      </c>
      <c r="B1303" t="s">
        <v>4097</v>
      </c>
      <c r="C1303" t="s">
        <v>4098</v>
      </c>
      <c r="D1303" s="4" t="s">
        <v>4099</v>
      </c>
    </row>
    <row r="1304" spans="1:5">
      <c r="A1304" t="s">
        <v>4100</v>
      </c>
      <c r="B1304" t="s">
        <v>4101</v>
      </c>
      <c r="C1304" t="s">
        <v>4102</v>
      </c>
      <c r="D1304" s="4" t="s">
        <v>4103</v>
      </c>
      <c r="E1304" t="str">
        <f aca="1">INDEX('[1]Data Export (2)'!$A:$K,MATCH(A1304,'[1]Data Export (2)'!$B:$B,0),11)</f>
        <v>Transferts de charges d’exploitation</v>
      </c>
    </row>
    <row r="1305" spans="1:5">
      <c r="A1305" t="s">
        <v>4104</v>
      </c>
      <c r="B1305" t="s">
        <v>4105</v>
      </c>
      <c r="C1305" t="s">
        <v>4106</v>
      </c>
      <c r="D1305" s="4" t="s">
        <v>4107</v>
      </c>
      <c r="E1305" t="str">
        <f aca="1">INDEX('[1]Data Export (2)'!$A:$K,MATCH(A1305,'[1]Data Export (2)'!$B:$B,0),11)</f>
        <v>Transferts de charges financières</v>
      </c>
    </row>
    <row r="1306" spans="1:4">
      <c r="A1306" t="s">
        <v>4108</v>
      </c>
      <c r="B1306" t="s">
        <v>4109</v>
      </c>
      <c r="C1306" t="s">
        <v>4110</v>
      </c>
      <c r="D1306" s="4" t="s">
        <v>4111</v>
      </c>
    </row>
    <row r="1307" spans="1:5">
      <c r="A1307" t="s">
        <v>4112</v>
      </c>
      <c r="B1307" t="s">
        <v>4113</v>
      </c>
      <c r="C1307" t="s">
        <v>4114</v>
      </c>
      <c r="D1307" s="4" t="s">
        <v>4115</v>
      </c>
      <c r="E1307" t="str">
        <f aca="1">INDEX('[1]Data Export (2)'!$A:$K,MATCH(A1307,'[1]Data Export (2)'!$B:$B,0),11)</f>
        <v>Reprise d’amortissements, provisions et dépréciations</v>
      </c>
    </row>
    <row r="1308" spans="1:5">
      <c r="A1308" t="s">
        <v>4116</v>
      </c>
      <c r="B1308" t="s">
        <v>4117</v>
      </c>
      <c r="C1308" t="s">
        <v>4118</v>
      </c>
      <c r="D1308" s="4" t="s">
        <v>4119</v>
      </c>
      <c r="E1308" t="str">
        <f aca="1">INDEX('[1]Data Export (2)'!$A:$K,MATCH(A1308,'[1]Data Export (2)'!$B:$B,0),11)</f>
        <v>Reprise d’amortissements, provisions et dépréciations</v>
      </c>
    </row>
    <row r="1309" spans="1:5">
      <c r="A1309" t="s">
        <v>4120</v>
      </c>
      <c r="B1309" t="s">
        <v>4121</v>
      </c>
      <c r="C1309" t="s">
        <v>4122</v>
      </c>
      <c r="D1309" s="4" t="s">
        <v>4123</v>
      </c>
      <c r="E1309" t="str">
        <f aca="1">INDEX('[1]Data Export (2)'!$A:$K,MATCH(A1309,'[1]Data Export (2)'!$B:$B,0),11)</f>
        <v>Reprise d’amortissements, provisions et dépréciations</v>
      </c>
    </row>
    <row r="1310" spans="1:5">
      <c r="A1310" t="s">
        <v>4124</v>
      </c>
      <c r="B1310" t="s">
        <v>4125</v>
      </c>
      <c r="C1310" t="s">
        <v>4126</v>
      </c>
      <c r="D1310" s="4" t="s">
        <v>4127</v>
      </c>
      <c r="E1310" t="str">
        <f aca="1">INDEX('[1]Data Export (2)'!$A:$K,MATCH(A1310,'[1]Data Export (2)'!$B:$B,0),11)</f>
        <v>Reprise d’amortissements, provisions et dépréciations</v>
      </c>
    </row>
    <row r="1311" spans="1:5">
      <c r="A1311" t="s">
        <v>4128</v>
      </c>
      <c r="B1311" t="s">
        <v>4129</v>
      </c>
      <c r="C1311" t="s">
        <v>4130</v>
      </c>
      <c r="D1311" s="4" t="s">
        <v>4131</v>
      </c>
      <c r="E1311" t="str">
        <f aca="1">INDEX('[1]Data Export (2)'!$A:$K,MATCH(A1311,'[1]Data Export (2)'!$B:$B,0),11)</f>
        <v>Reprises de provisions et dépréciations financières</v>
      </c>
    </row>
    <row r="1312" spans="1:5">
      <c r="A1312" t="s">
        <v>4132</v>
      </c>
      <c r="B1312" t="s">
        <v>4133</v>
      </c>
      <c r="C1312" t="s">
        <v>4134</v>
      </c>
      <c r="D1312" s="4" t="s">
        <v>4135</v>
      </c>
      <c r="E1312" t="str">
        <f aca="1">INDEX('[1]Data Export (2)'!$A:$K,MATCH(A1312,'[1]Data Export (2)'!$B:$B,0),11)</f>
        <v>Reprises de provisions et dépréciations financières</v>
      </c>
    </row>
    <row r="1313" spans="1:5">
      <c r="A1313" t="s">
        <v>4136</v>
      </c>
      <c r="B1313" t="s">
        <v>4137</v>
      </c>
      <c r="C1313" t="s">
        <v>4138</v>
      </c>
      <c r="D1313" s="4" t="s">
        <v>4139</v>
      </c>
      <c r="E1313" t="str">
        <f aca="1">INDEX('[1]Data Export (2)'!$A:$K,MATCH(A1313,'[1]Data Export (2)'!$B:$B,0),11)</f>
        <v>Reprises de provisions et dépréciations financières</v>
      </c>
    </row>
    <row r="1314" spans="1:5">
      <c r="A1314" t="s">
        <v>4140</v>
      </c>
      <c r="B1314" t="s">
        <v>4141</v>
      </c>
      <c r="C1314" t="s">
        <v>4142</v>
      </c>
      <c r="D1314" s="4" t="s">
        <v>4143</v>
      </c>
      <c r="E1314" t="str">
        <f aca="1">INDEX('[1]Data Export (2)'!$A:$K,MATCH(A1314,'[1]Data Export (2)'!$B:$B,0),11)</f>
        <v>Reprise d’amortissements, provisions et dépréciations</v>
      </c>
    </row>
    <row r="1315" spans="1:5">
      <c r="A1315" t="s">
        <v>4144</v>
      </c>
      <c r="B1315" t="s">
        <v>4145</v>
      </c>
      <c r="C1315" t="s">
        <v>4146</v>
      </c>
      <c r="D1315" s="4" t="s">
        <v>4147</v>
      </c>
      <c r="E1315" t="str">
        <f aca="1">INDEX('[1]Data Export (2)'!$A:$K,MATCH(A1315,'[1]Data Export (2)'!$B:$B,0),11)</f>
        <v>Reprise d’amortissements, provisions et dépréciations</v>
      </c>
    </row>
    <row r="1316" spans="1:2">
      <c r="A1316" t="s">
        <v>4148</v>
      </c>
      <c r="B1316" t="s">
        <v>4149</v>
      </c>
    </row>
    <row r="1317" spans="1:4">
      <c r="A1317" t="s">
        <v>4150</v>
      </c>
      <c r="B1317" t="s">
        <v>4151</v>
      </c>
      <c r="C1317" t="s">
        <v>4152</v>
      </c>
      <c r="D1317" s="4" t="s">
        <v>4153</v>
      </c>
    </row>
    <row r="1318" spans="1:5">
      <c r="A1318" t="s">
        <v>4154</v>
      </c>
      <c r="B1318" t="s">
        <v>4155</v>
      </c>
      <c r="C1318" t="s">
        <v>4156</v>
      </c>
      <c r="D1318" s="4" t="s">
        <v>4157</v>
      </c>
      <c r="E1318" t="str">
        <f aca="1">INDEX('[1]Data Export (2)'!$A:$K,MATCH(A1318,'[1]Data Export (2)'!$B:$B,0),11)</f>
        <v>VNC d'immobilisations</v>
      </c>
    </row>
    <row r="1319" spans="1:5">
      <c r="A1319" t="s">
        <v>4158</v>
      </c>
      <c r="B1319" t="s">
        <v>4159</v>
      </c>
      <c r="C1319" t="s">
        <v>4160</v>
      </c>
      <c r="D1319" s="4" t="s">
        <v>4161</v>
      </c>
      <c r="E1319" t="str">
        <f aca="1">INDEX('[1]Data Export (2)'!$A:$K,MATCH(A1319,'[1]Data Export (2)'!$B:$B,0),11)</f>
        <v>VNC d'immobilisations</v>
      </c>
    </row>
    <row r="1320" spans="1:5">
      <c r="A1320" t="s">
        <v>4162</v>
      </c>
      <c r="B1320" t="s">
        <v>4163</v>
      </c>
      <c r="C1320" t="s">
        <v>4164</v>
      </c>
      <c r="D1320" s="4" t="s">
        <v>4165</v>
      </c>
      <c r="E1320" t="str">
        <f aca="1">INDEX('[1]Data Export (2)'!$A:$K,MATCH(A1320,'[1]Data Export (2)'!$B:$B,0),11)</f>
        <v>VNC d'immobilisations</v>
      </c>
    </row>
    <row r="1321" spans="1:4">
      <c r="A1321" t="s">
        <v>4166</v>
      </c>
      <c r="B1321" t="s">
        <v>4167</v>
      </c>
      <c r="C1321" t="s">
        <v>4168</v>
      </c>
      <c r="D1321" s="4" t="s">
        <v>4169</v>
      </c>
    </row>
    <row r="1322" spans="1:5">
      <c r="A1322" t="s">
        <v>4170</v>
      </c>
      <c r="B1322" t="s">
        <v>4171</v>
      </c>
      <c r="C1322" t="s">
        <v>4172</v>
      </c>
      <c r="D1322" s="4" t="s">
        <v>4173</v>
      </c>
      <c r="E1322" t="str">
        <f aca="1">INDEX('[1]Data Export (2)'!$A:$K,MATCH(A1322,'[1]Data Export (2)'!$B:$B,0),11)</f>
        <v>Autres charges H.A.O</v>
      </c>
    </row>
    <row r="1323" spans="1:5">
      <c r="A1323" t="s">
        <v>4174</v>
      </c>
      <c r="B1323" t="s">
        <v>4175</v>
      </c>
      <c r="C1323" t="s">
        <v>4176</v>
      </c>
      <c r="D1323" s="4" t="s">
        <v>4177</v>
      </c>
      <c r="E1323" t="str">
        <f aca="1">INDEX('[1]Data Export (2)'!$A:$K,MATCH(A1323,'[1]Data Export (2)'!$B:$B,0),11)</f>
        <v>Autres charges H.A.O</v>
      </c>
    </row>
    <row r="1324" spans="1:5">
      <c r="A1324" t="s">
        <v>4178</v>
      </c>
      <c r="B1324" t="s">
        <v>4179</v>
      </c>
      <c r="C1324" t="s">
        <v>4180</v>
      </c>
      <c r="D1324" s="4" t="s">
        <v>4181</v>
      </c>
      <c r="E1324" t="str">
        <f aca="1">INDEX('[1]Data Export (2)'!$A:$K,MATCH(A1324,'[1]Data Export (2)'!$B:$B,0),11)</f>
        <v>Autres charges H.A.O</v>
      </c>
    </row>
    <row r="1325" spans="1:5">
      <c r="A1325" t="s">
        <v>4182</v>
      </c>
      <c r="B1325" t="s">
        <v>4183</v>
      </c>
      <c r="C1325" t="s">
        <v>4184</v>
      </c>
      <c r="D1325" s="4" t="s">
        <v>4185</v>
      </c>
      <c r="E1325" t="str">
        <f aca="1">INDEX('[1]Data Export (2)'!$A:$K,MATCH(A1325,'[1]Data Export (2)'!$B:$B,0),11)</f>
        <v>Autres charges H.A.O</v>
      </c>
    </row>
    <row r="1326" spans="1:5">
      <c r="A1326" t="s">
        <v>4186</v>
      </c>
      <c r="B1326" t="s">
        <v>4187</v>
      </c>
      <c r="C1326" t="s">
        <v>4188</v>
      </c>
      <c r="D1326" s="4" t="s">
        <v>4189</v>
      </c>
      <c r="E1326" t="str">
        <f aca="1">INDEX('[1]Data Export (2)'!$A:$K,MATCH(A1326,'[1]Data Export (2)'!$B:$B,0),11)</f>
        <v>Autres charges H.A.O</v>
      </c>
    </row>
    <row r="1327" spans="1:5">
      <c r="A1327" t="s">
        <v>4190</v>
      </c>
      <c r="B1327" t="s">
        <v>4191</v>
      </c>
      <c r="C1327" t="s">
        <v>4192</v>
      </c>
      <c r="D1327" s="4" t="s">
        <v>4193</v>
      </c>
      <c r="E1327" t="str">
        <f aca="1">INDEX('[1]Data Export (2)'!$A:$K,MATCH(A1327,'[1]Data Export (2)'!$B:$B,0),11)</f>
        <v>Autres charges H.A.O</v>
      </c>
    </row>
    <row r="1328" spans="1:5">
      <c r="A1328" t="s">
        <v>4194</v>
      </c>
      <c r="B1328" t="s">
        <v>4195</v>
      </c>
      <c r="C1328" t="s">
        <v>4196</v>
      </c>
      <c r="D1328" s="4" t="s">
        <v>4197</v>
      </c>
      <c r="E1328" t="str">
        <f aca="1">INDEX('[1]Data Export (2)'!$A:$K,MATCH(A1328,'[1]Data Export (2)'!$B:$B,0),11)</f>
        <v>Autres charges H.A.O</v>
      </c>
    </row>
    <row r="1329" spans="1:4">
      <c r="A1329" t="s">
        <v>4198</v>
      </c>
      <c r="B1329" t="s">
        <v>4199</v>
      </c>
      <c r="C1329" t="s">
        <v>4200</v>
      </c>
      <c r="D1329" s="4" t="s">
        <v>4201</v>
      </c>
    </row>
    <row r="1330" spans="1:5">
      <c r="A1330" t="s">
        <v>4202</v>
      </c>
      <c r="B1330" t="s">
        <v>4203</v>
      </c>
      <c r="C1330" t="s">
        <v>4204</v>
      </c>
      <c r="D1330" s="4" t="s">
        <v>4205</v>
      </c>
      <c r="E1330" t="str">
        <f aca="1">INDEX('[1]Data Export (2)'!$A:$K,MATCH(A1330,'[1]Data Export (2)'!$B:$B,0),11)</f>
        <v>Autres charges H.A.O</v>
      </c>
    </row>
    <row r="1331" spans="1:5">
      <c r="A1331" t="s">
        <v>4206</v>
      </c>
      <c r="B1331" t="s">
        <v>4207</v>
      </c>
      <c r="C1331" t="s">
        <v>4208</v>
      </c>
      <c r="D1331" s="4" t="s">
        <v>4209</v>
      </c>
      <c r="E1331" t="str">
        <f aca="1">INDEX('[1]Data Export (2)'!$A:$K,MATCH(A1331,'[1]Data Export (2)'!$B:$B,0),11)</f>
        <v>Autres charges H.A.O</v>
      </c>
    </row>
    <row r="1332" spans="1:5">
      <c r="A1332" t="s">
        <v>4210</v>
      </c>
      <c r="B1332" t="s">
        <v>4211</v>
      </c>
      <c r="C1332" t="s">
        <v>4212</v>
      </c>
      <c r="D1332" s="4" t="s">
        <v>4213</v>
      </c>
      <c r="E1332" t="str">
        <f aca="1">INDEX('[1]Data Export (2)'!$A:$K,MATCH(A1332,'[1]Data Export (2)'!$B:$B,0),11)</f>
        <v>Autres charges H.A.O</v>
      </c>
    </row>
    <row r="1333" spans="1:5">
      <c r="A1333" t="s">
        <v>4214</v>
      </c>
      <c r="B1333" t="s">
        <v>4215</v>
      </c>
      <c r="C1333" t="s">
        <v>4216</v>
      </c>
      <c r="D1333" s="4" t="s">
        <v>4217</v>
      </c>
      <c r="E1333" t="str">
        <f aca="1">INDEX('[1]Data Export (2)'!$A:$K,MATCH(A1333,'[1]Data Export (2)'!$B:$B,0),11)</f>
        <v>Autres charges H.A.O</v>
      </c>
    </row>
    <row r="1334" spans="1:5">
      <c r="A1334" t="s">
        <v>4218</v>
      </c>
      <c r="B1334" t="s">
        <v>4219</v>
      </c>
      <c r="C1334" t="s">
        <v>4220</v>
      </c>
      <c r="D1334" s="4" t="s">
        <v>4221</v>
      </c>
      <c r="E1334" t="str">
        <f aca="1">INDEX('[1]Data Export (2)'!$A:$K,MATCH(A1334,'[1]Data Export (2)'!$B:$B,0),11)</f>
        <v>Autres charges H.A.O</v>
      </c>
    </row>
    <row r="1335" spans="1:4">
      <c r="A1335" t="s">
        <v>4222</v>
      </c>
      <c r="B1335" t="s">
        <v>4223</v>
      </c>
      <c r="C1335" t="s">
        <v>4224</v>
      </c>
      <c r="D1335" s="4" t="s">
        <v>4225</v>
      </c>
    </row>
    <row r="1336" spans="1:5">
      <c r="A1336" t="s">
        <v>4226</v>
      </c>
      <c r="B1336" t="s">
        <v>4227</v>
      </c>
      <c r="C1336" t="s">
        <v>4228</v>
      </c>
      <c r="D1336" s="4" t="s">
        <v>4229</v>
      </c>
      <c r="E1336" t="str">
        <f aca="1">INDEX('[1]Data Export (2)'!$A:$K,MATCH(A1336,'[1]Data Export (2)'!$B:$B,0),11)</f>
        <v>Participations des travailleurs</v>
      </c>
    </row>
    <row r="1337" spans="1:5">
      <c r="A1337" t="s">
        <v>4230</v>
      </c>
      <c r="B1337" t="s">
        <v>4231</v>
      </c>
      <c r="C1337" t="s">
        <v>4232</v>
      </c>
      <c r="D1337" s="4" t="s">
        <v>4233</v>
      </c>
      <c r="E1337" t="str">
        <f aca="1">INDEX('[1]Data Export (2)'!$A:$K,MATCH(A1337,'[1]Data Export (2)'!$B:$B,0),11)</f>
        <v>Participations des travailleurs</v>
      </c>
    </row>
    <row r="1338" spans="1:5">
      <c r="A1338" t="s">
        <v>4234</v>
      </c>
      <c r="B1338" t="s">
        <v>4235</v>
      </c>
      <c r="C1338" t="s">
        <v>4236</v>
      </c>
      <c r="D1338" s="4" t="s">
        <v>4237</v>
      </c>
      <c r="E1338" t="str">
        <f aca="1">INDEX('[1]Data Export (2)'!$A:$K,MATCH(A1338,'[1]Data Export (2)'!$B:$B,0),11)</f>
        <v>Participations des travailleurs</v>
      </c>
    </row>
    <row r="1339" spans="1:4">
      <c r="A1339" t="s">
        <v>4238</v>
      </c>
      <c r="B1339" t="s">
        <v>4239</v>
      </c>
      <c r="C1339" t="s">
        <v>4240</v>
      </c>
      <c r="D1339" s="4" t="s">
        <v>4241</v>
      </c>
    </row>
    <row r="1340" spans="1:5">
      <c r="A1340" t="s">
        <v>4242</v>
      </c>
      <c r="B1340" t="s">
        <v>4243</v>
      </c>
      <c r="C1340" t="s">
        <v>4244</v>
      </c>
      <c r="D1340" s="4" t="s">
        <v>4245</v>
      </c>
      <c r="E1340" t="str">
        <f aca="1">INDEX('[1]Data Export (2)'!$A:$K,MATCH(A1340,'[1]Data Export (2)'!$B:$B,0),11)</f>
        <v>Impôts sur le résultat</v>
      </c>
    </row>
    <row r="1341" spans="1:5">
      <c r="A1341" t="s">
        <v>4246</v>
      </c>
      <c r="B1341" t="s">
        <v>4247</v>
      </c>
      <c r="C1341" t="s">
        <v>4248</v>
      </c>
      <c r="D1341" s="4" t="s">
        <v>4249</v>
      </c>
      <c r="E1341" t="str">
        <f aca="1">INDEX('[1]Data Export (2)'!$A:$K,MATCH(A1341,'[1]Data Export (2)'!$B:$B,0),11)</f>
        <v>Impôts sur le résultat</v>
      </c>
    </row>
    <row r="1342" spans="1:5">
      <c r="A1342" t="s">
        <v>4250</v>
      </c>
      <c r="B1342" t="s">
        <v>4251</v>
      </c>
      <c r="C1342" t="s">
        <v>4252</v>
      </c>
      <c r="D1342" s="4" t="s">
        <v>4253</v>
      </c>
      <c r="E1342" t="str">
        <f aca="1">INDEX('[1]Data Export (2)'!$A:$K,MATCH(A1342,'[1]Data Export (2)'!$B:$B,0),11)</f>
        <v>Impôts sur le résultat</v>
      </c>
    </row>
    <row r="1343" spans="1:5">
      <c r="A1343" t="s">
        <v>4254</v>
      </c>
      <c r="B1343" t="s">
        <v>4255</v>
      </c>
      <c r="C1343" t="s">
        <v>4256</v>
      </c>
      <c r="D1343" s="4" t="s">
        <v>4257</v>
      </c>
      <c r="E1343" t="str">
        <f aca="1">INDEX('[1]Data Export (2)'!$A:$K,MATCH(A1343,'[1]Data Export (2)'!$B:$B,0),11)</f>
        <v>Impôts sur le résultat</v>
      </c>
    </row>
    <row r="1344" spans="1:5">
      <c r="A1344" t="s">
        <v>4258</v>
      </c>
      <c r="B1344" t="s">
        <v>4259</v>
      </c>
      <c r="C1344" t="s">
        <v>4260</v>
      </c>
      <c r="D1344" s="4" t="s">
        <v>4261</v>
      </c>
      <c r="E1344" t="str">
        <f aca="1">INDEX('[1]Data Export (2)'!$A:$K,MATCH(A1344,'[1]Data Export (2)'!$B:$B,0),11)</f>
        <v>Impôts sur le résultat</v>
      </c>
    </row>
    <row r="1345" spans="1:5">
      <c r="A1345" t="s">
        <v>4262</v>
      </c>
      <c r="B1345" t="s">
        <v>4263</v>
      </c>
      <c r="C1345" t="s">
        <v>4264</v>
      </c>
      <c r="D1345" s="4" t="s">
        <v>4265</v>
      </c>
      <c r="E1345" t="str">
        <f aca="1">INDEX('[1]Data Export (2)'!$A:$K,MATCH(A1345,'[1]Data Export (2)'!$B:$B,0),11)</f>
        <v>Impôts sur le résultat</v>
      </c>
    </row>
    <row r="1346" spans="1:5">
      <c r="A1346" t="s">
        <v>4266</v>
      </c>
      <c r="B1346" t="s">
        <v>4267</v>
      </c>
      <c r="C1346" t="s">
        <v>4268</v>
      </c>
      <c r="D1346" s="4" t="s">
        <v>4269</v>
      </c>
      <c r="E1346" t="str">
        <f aca="1">INDEX('[1]Data Export (2)'!$A:$K,MATCH(A1346,'[1]Data Export (2)'!$B:$B,0),11)</f>
        <v>Impôts sur le résultat</v>
      </c>
    </row>
    <row r="1347" spans="1:5">
      <c r="A1347" t="s">
        <v>4270</v>
      </c>
      <c r="B1347" t="s">
        <v>4271</v>
      </c>
      <c r="C1347" t="s">
        <v>4272</v>
      </c>
      <c r="D1347" s="4" t="s">
        <v>4273</v>
      </c>
      <c r="E1347" t="str">
        <f aca="1">INDEX('[1]Data Export (2)'!$A:$K,MATCH(A1347,'[1]Data Export (2)'!$B:$B,0),11)</f>
        <v>Impôts sur le résultat</v>
      </c>
    </row>
    <row r="1348" spans="1:5">
      <c r="A1348" t="s">
        <v>4274</v>
      </c>
      <c r="B1348" t="s">
        <v>4275</v>
      </c>
      <c r="C1348" t="s">
        <v>4276</v>
      </c>
      <c r="D1348" s="4" t="s">
        <v>4277</v>
      </c>
      <c r="E1348" t="str">
        <f aca="1">INDEX('[1]Data Export (2)'!$A:$K,MATCH(A1348,'[1]Data Export (2)'!$B:$B,0),11)</f>
        <v>Impôts sur le résultat</v>
      </c>
    </row>
    <row r="1349" spans="1:2">
      <c r="A1349" t="s">
        <v>4278</v>
      </c>
      <c r="B1349" t="s">
        <v>4279</v>
      </c>
    </row>
    <row r="1350" spans="1:4">
      <c r="A1350" t="s">
        <v>4280</v>
      </c>
      <c r="B1350" t="s">
        <v>4281</v>
      </c>
      <c r="C1350" t="s">
        <v>4282</v>
      </c>
      <c r="D1350" s="4" t="s">
        <v>4283</v>
      </c>
    </row>
    <row r="1351" spans="1:5">
      <c r="A1351" t="s">
        <v>4284</v>
      </c>
      <c r="B1351" t="s">
        <v>4285</v>
      </c>
      <c r="C1351" t="s">
        <v>4286</v>
      </c>
      <c r="D1351" s="4" t="s">
        <v>4287</v>
      </c>
      <c r="E1351" t="str">
        <f aca="1">INDEX('[1]Data Export (2)'!$A:$K,MATCH(A1351,'[1]Data Export (2)'!$B:$B,0),11)</f>
        <v>Produits des cessions d'immobilisations</v>
      </c>
    </row>
    <row r="1352" spans="1:5">
      <c r="A1352" t="s">
        <v>4288</v>
      </c>
      <c r="B1352" t="s">
        <v>4289</v>
      </c>
      <c r="C1352" t="s">
        <v>4290</v>
      </c>
      <c r="D1352" s="4" t="s">
        <v>4291</v>
      </c>
      <c r="E1352" t="str">
        <f aca="1">INDEX('[1]Data Export (2)'!$A:$K,MATCH(A1352,'[1]Data Export (2)'!$B:$B,0),11)</f>
        <v>Produits des cessions d'immobilisations</v>
      </c>
    </row>
    <row r="1353" spans="1:5">
      <c r="A1353" t="s">
        <v>4292</v>
      </c>
      <c r="B1353" t="s">
        <v>4293</v>
      </c>
      <c r="C1353" t="s">
        <v>4294</v>
      </c>
      <c r="D1353" s="4" t="s">
        <v>4295</v>
      </c>
      <c r="E1353" t="str">
        <f aca="1">INDEX('[1]Data Export (2)'!$A:$K,MATCH(A1353,'[1]Data Export (2)'!$B:$B,0),11)</f>
        <v>Produits des cessions d'immobilisations</v>
      </c>
    </row>
    <row r="1354" spans="1:4">
      <c r="A1354" t="s">
        <v>4296</v>
      </c>
      <c r="B1354" t="s">
        <v>4297</v>
      </c>
      <c r="C1354" t="s">
        <v>4298</v>
      </c>
      <c r="D1354" s="4" t="s">
        <v>4299</v>
      </c>
    </row>
    <row r="1355" spans="1:5">
      <c r="A1355" t="s">
        <v>4300</v>
      </c>
      <c r="B1355" t="s">
        <v>4301</v>
      </c>
      <c r="C1355" t="s">
        <v>4302</v>
      </c>
      <c r="D1355" s="4" t="s">
        <v>4303</v>
      </c>
      <c r="E1355" t="str">
        <f aca="1">INDEX('[1]Data Export (2)'!$A:$K,MATCH(A1355,'[1]Data Export (2)'!$B:$B,0),11)</f>
        <v>Autres produits H.A.O</v>
      </c>
    </row>
    <row r="1356" spans="1:5">
      <c r="A1356" t="s">
        <v>4304</v>
      </c>
      <c r="B1356" t="s">
        <v>4305</v>
      </c>
      <c r="C1356" t="s">
        <v>4306</v>
      </c>
      <c r="D1356" s="4" t="s">
        <v>4307</v>
      </c>
      <c r="E1356" t="str">
        <f aca="1">INDEX('[1]Data Export (2)'!$A:$K,MATCH(A1356,'[1]Data Export (2)'!$B:$B,0),11)</f>
        <v>Autres produits H.A.O</v>
      </c>
    </row>
    <row r="1357" spans="1:5">
      <c r="A1357" t="s">
        <v>4308</v>
      </c>
      <c r="B1357" t="s">
        <v>4309</v>
      </c>
      <c r="C1357" t="s">
        <v>4310</v>
      </c>
      <c r="D1357" s="4" t="s">
        <v>4311</v>
      </c>
      <c r="E1357" t="str">
        <f aca="1">INDEX('[1]Data Export (2)'!$A:$K,MATCH(A1357,'[1]Data Export (2)'!$B:$B,0),11)</f>
        <v>Autres produits H.A.O</v>
      </c>
    </row>
    <row r="1358" spans="1:5">
      <c r="A1358" t="s">
        <v>4312</v>
      </c>
      <c r="B1358" t="s">
        <v>4313</v>
      </c>
      <c r="C1358" t="s">
        <v>4314</v>
      </c>
      <c r="D1358" s="4" t="s">
        <v>4315</v>
      </c>
      <c r="E1358" t="str">
        <f aca="1">INDEX('[1]Data Export (2)'!$A:$K,MATCH(A1358,'[1]Data Export (2)'!$B:$B,0),11)</f>
        <v>Autres produits H.A.O</v>
      </c>
    </row>
    <row r="1359" spans="1:5">
      <c r="A1359" t="s">
        <v>4316</v>
      </c>
      <c r="B1359" t="s">
        <v>4317</v>
      </c>
      <c r="C1359" t="s">
        <v>4318</v>
      </c>
      <c r="D1359" s="4" t="s">
        <v>4319</v>
      </c>
      <c r="E1359" t="str">
        <f aca="1">INDEX('[1]Data Export (2)'!$A:$K,MATCH(A1359,'[1]Data Export (2)'!$B:$B,0),11)</f>
        <v>Autres produits H.A.O</v>
      </c>
    </row>
    <row r="1360" spans="1:5">
      <c r="A1360" t="s">
        <v>4320</v>
      </c>
      <c r="B1360" t="s">
        <v>4321</v>
      </c>
      <c r="C1360" t="s">
        <v>4322</v>
      </c>
      <c r="D1360" s="4" t="s">
        <v>4323</v>
      </c>
      <c r="E1360" t="str">
        <f aca="1">INDEX('[1]Data Export (2)'!$A:$K,MATCH(A1360,'[1]Data Export (2)'!$B:$B,0),11)</f>
        <v>Autres produits H.A.O</v>
      </c>
    </row>
    <row r="1361" spans="1:5">
      <c r="A1361" t="s">
        <v>4324</v>
      </c>
      <c r="B1361" t="s">
        <v>4325</v>
      </c>
      <c r="C1361" t="s">
        <v>4326</v>
      </c>
      <c r="D1361" s="4" t="s">
        <v>4327</v>
      </c>
      <c r="E1361" t="str">
        <f aca="1">INDEX('[1]Data Export (2)'!$A:$K,MATCH(A1361,'[1]Data Export (2)'!$B:$B,0),11)</f>
        <v>Autres produits H.A.O</v>
      </c>
    </row>
    <row r="1362" spans="1:5">
      <c r="A1362" t="s">
        <v>4328</v>
      </c>
      <c r="B1362" t="s">
        <v>4329</v>
      </c>
      <c r="C1362" t="s">
        <v>4330</v>
      </c>
      <c r="D1362" s="4" t="s">
        <v>4331</v>
      </c>
      <c r="E1362" t="str">
        <f aca="1">INDEX('[1]Data Export (2)'!$A:$K,MATCH(A1362,'[1]Data Export (2)'!$B:$B,0),11)</f>
        <v>Autres produits H.A.O</v>
      </c>
    </row>
    <row r="1363" spans="1:4">
      <c r="A1363" t="s">
        <v>4332</v>
      </c>
      <c r="B1363" t="s">
        <v>4333</v>
      </c>
      <c r="C1363" t="s">
        <v>4334</v>
      </c>
      <c r="D1363" s="4" t="s">
        <v>4335</v>
      </c>
    </row>
    <row r="1364" spans="1:5">
      <c r="A1364" t="s">
        <v>4336</v>
      </c>
      <c r="B1364" t="s">
        <v>4337</v>
      </c>
      <c r="C1364" t="s">
        <v>4338</v>
      </c>
      <c r="D1364" s="4" t="s">
        <v>4339</v>
      </c>
      <c r="E1364" t="str">
        <f aca="1">INDEX('[1]Data Export (2)'!$A:$K,MATCH(A1364,'[1]Data Export (2)'!$B:$B,0),11)</f>
        <v>Autres produits H.A.O</v>
      </c>
    </row>
    <row r="1365" spans="1:5">
      <c r="A1365" t="s">
        <v>4340</v>
      </c>
      <c r="B1365" t="s">
        <v>4341</v>
      </c>
      <c r="C1365" t="s">
        <v>4342</v>
      </c>
      <c r="D1365" s="4" t="s">
        <v>4343</v>
      </c>
      <c r="E1365" t="str">
        <f aca="1">INDEX('[1]Data Export (2)'!$A:$K,MATCH(A1365,'[1]Data Export (2)'!$B:$B,0),11)</f>
        <v>Autres produits H.A.O</v>
      </c>
    </row>
    <row r="1366" spans="1:5">
      <c r="A1366" t="s">
        <v>4344</v>
      </c>
      <c r="B1366" t="s">
        <v>4345</v>
      </c>
      <c r="C1366" t="s">
        <v>4346</v>
      </c>
      <c r="D1366" s="4" t="s">
        <v>4347</v>
      </c>
      <c r="E1366" t="str">
        <f aca="1">INDEX('[1]Data Export (2)'!$A:$K,MATCH(A1366,'[1]Data Export (2)'!$B:$B,0),11)</f>
        <v>Autres produits H.A.O</v>
      </c>
    </row>
    <row r="1367" spans="1:5">
      <c r="A1367" t="s">
        <v>4348</v>
      </c>
      <c r="B1367" t="s">
        <v>4349</v>
      </c>
      <c r="C1367" t="s">
        <v>4350</v>
      </c>
      <c r="D1367" s="4" t="s">
        <v>4351</v>
      </c>
      <c r="E1367" t="str">
        <f aca="1">INDEX('[1]Data Export (2)'!$A:$K,MATCH(A1367,'[1]Data Export (2)'!$B:$B,0),11)</f>
        <v>Autres produits H.A.O</v>
      </c>
    </row>
    <row r="1368" spans="1:5">
      <c r="A1368" t="s">
        <v>4352</v>
      </c>
      <c r="B1368" t="s">
        <v>4353</v>
      </c>
      <c r="C1368" t="s">
        <v>4354</v>
      </c>
      <c r="D1368" s="4" t="s">
        <v>4355</v>
      </c>
      <c r="E1368" t="str">
        <f aca="1">INDEX('[1]Data Export (2)'!$A:$K,MATCH(A1368,'[1]Data Export (2)'!$B:$B,0),11)</f>
        <v>Autres produits H.A.O</v>
      </c>
    </row>
    <row r="1369" spans="1:4">
      <c r="A1369" t="s">
        <v>4356</v>
      </c>
      <c r="B1369" t="s">
        <v>4357</v>
      </c>
      <c r="C1369" t="s">
        <v>4358</v>
      </c>
      <c r="D1369" s="4" t="s">
        <v>4359</v>
      </c>
    </row>
    <row r="1370" spans="1:5">
      <c r="A1370" t="s">
        <v>4360</v>
      </c>
      <c r="B1370" t="s">
        <v>4361</v>
      </c>
      <c r="C1370" t="s">
        <v>4362</v>
      </c>
      <c r="D1370" s="4" t="s">
        <v>4363</v>
      </c>
      <c r="E1370" t="str">
        <f aca="1">INDEX('[1]Data Export (2)'!$A:$K,MATCH(A1370,'[1]Data Export (2)'!$B:$B,0),11)</f>
        <v>Autres produits H.A.O</v>
      </c>
    </row>
    <row r="1371" spans="1:5">
      <c r="A1371" t="s">
        <v>4364</v>
      </c>
      <c r="B1371" t="s">
        <v>4365</v>
      </c>
      <c r="C1371" t="s">
        <v>4366</v>
      </c>
      <c r="D1371" s="4" t="s">
        <v>4367</v>
      </c>
      <c r="E1371" t="str">
        <f aca="1">INDEX('[1]Data Export (2)'!$A:$K,MATCH(A1371,'[1]Data Export (2)'!$B:$B,0),11)</f>
        <v>Autres produits H.A.O</v>
      </c>
    </row>
    <row r="1372" spans="1:5">
      <c r="A1372" t="s">
        <v>4368</v>
      </c>
      <c r="B1372" t="s">
        <v>4369</v>
      </c>
      <c r="C1372" t="s">
        <v>4370</v>
      </c>
      <c r="D1372" s="4" t="s">
        <v>4371</v>
      </c>
      <c r="E1372" t="str">
        <f aca="1">INDEX('[1]Data Export (2)'!$A:$K,MATCH(A1372,'[1]Data Export (2)'!$B:$B,0),11)</f>
        <v>Autres produits H.A.O</v>
      </c>
    </row>
    <row r="1373" spans="1:5">
      <c r="A1373" t="s">
        <v>4372</v>
      </c>
      <c r="B1373" t="s">
        <v>4373</v>
      </c>
      <c r="C1373" t="s">
        <v>4374</v>
      </c>
      <c r="D1373" s="4" t="s">
        <v>4375</v>
      </c>
      <c r="E1373" t="str">
        <f aca="1">INDEX('[1]Data Export (2)'!$A:$K,MATCH(A1373,'[1]Data Export (2)'!$B:$B,0),11)</f>
        <v>Autres produits H.A.O</v>
      </c>
    </row>
  </sheetData>
  <autoFilter ref="A1:F1373">
    <filterColumn colId="0">
      <customFilters and="1">
        <customFilter operator="equal" val="**"/>
      </customFilters>
    </filterColumn>
    <filterColumn colId="1"/>
    <filterColumn colId="2"/>
    <filterColumn colId="3"/>
    <filterColumn colId="4"/>
    <filterColumn colId="5"/>
  </autoFilter>
  <printOptions>
    <extLst>
      <ext uri="smNativeData">
        <pm:pageFlags xmlns:pm="smNativeData" id="178879242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8792426" l="56" r="56" t="56" b="56" borderId="0" fillId="0" vertical="0"/>
        <pm:footer xmlns:pm="smNativeData" id="1788792426" l="56" r="56" t="56" b="56" borderId="0" fillId="0" vertical="2"/>
      </ext>
    </extLst>
  </headerFooter>
  <extLst>
    <ext uri="smNativeData">
      <pm:sheetPrefs xmlns:pm="smNativeData" day="178879242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agg-rey</cp:lastModifiedBy>
  <cp:revision>0</cp:revision>
  <dcterms:created xsi:type="dcterms:W3CDTF">2026-09-07T14:39:05Z</dcterms:created>
  <dcterms:modified xsi:type="dcterms:W3CDTF">2026-09-07T14:47:06Z</dcterms:modified>
</cp:coreProperties>
</file>